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https://d.docs.live.net/d5f5e9db2adebbe9/Desktop/Excel_Project Hospital Emergency rrom/"/>
    </mc:Choice>
  </mc:AlternateContent>
  <xr:revisionPtr revIDLastSave="0" documentId="8_{24E6E618-5431-4A8D-AC87-BAAF1020FEEA}" xr6:coauthVersionLast="47" xr6:coauthVersionMax="47" xr10:uidLastSave="{00000000-0000-0000-0000-000000000000}"/>
  <bookViews>
    <workbookView xWindow="-110" yWindow="-110" windowWidth="19420" windowHeight="10300" activeTab="1" xr2:uid="{88561366-C93A-4140-A286-28B83A7E05E0}"/>
  </bookViews>
  <sheets>
    <sheet name="Pivot Report" sheetId="1" r:id="rId1"/>
    <sheet name="Dashboard" sheetId="2" r:id="rId2"/>
    <sheet name="Daily ER no. of patient" sheetId="3" r:id="rId3"/>
    <sheet name="Average Wait time Daily trend" sheetId="4" r:id="rId4"/>
    <sheet name="Satisfaction score daily treand" sheetId="5" r:id="rId5"/>
  </sheets>
  <definedNames>
    <definedName name="Slicer_Date__Month">#N/A</definedName>
    <definedName name="Slicer_Date__Year">#N/A</definedName>
  </definedNames>
  <calcPr calcId="191029"/>
  <pivotCaches>
    <pivotCache cacheId="1689" r:id="rId6"/>
    <pivotCache cacheId="1692" r:id="rId7"/>
    <pivotCache cacheId="1695" r:id="rId8"/>
    <pivotCache cacheId="1698" r:id="rId9"/>
    <pivotCache cacheId="1701" r:id="rId10"/>
    <pivotCache cacheId="1704" r:id="rId11"/>
    <pivotCache cacheId="1707" r:id="rId12"/>
    <pivotCache cacheId="1710" r:id="rId13"/>
    <pivotCache cacheId="1713" r:id="rId14"/>
    <pivotCache cacheId="1716" r:id="rId15"/>
    <pivotCache cacheId="1719" r:id="rId16"/>
  </pivotCaches>
  <extLst>
    <ext xmlns:x14="http://schemas.microsoft.com/office/spreadsheetml/2009/9/main" uri="{876F7934-8845-4945-9796-88D515C7AA90}">
      <x14:pivotCaches>
        <pivotCache cacheId="1175"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953e9ba9-e76f-4d47-b65d-bdb8b3d42f96" name="Hospital Emergency Room Data  1" connection="Query - Hospital Emergency Room Data (1)"/>
          <x15:modelTable id="Calender_Table_24ccabf5-6cc7-4305-b818-f20e3cb38e08" name="Calender_Table" connection="Query - Calender_Table"/>
        </x15:modelTables>
        <x15:modelRelationships>
          <x15:modelRelationship fromTable="Hospital Emergency Room Data  1"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1" columnName="Patient Admission Time" columnId="Patient Admission Time">
                <x16:calculatedTimeColumn columnName="Patient Admission Time (Hour)" columnId="Patient Admission Time (Hour)" contentType="hours" isSelected="1"/>
                <x16:calculatedTimeColumn columnName="Patient Admission Time (Minute)" columnId="Patient Admission 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51" i="1" l="1"/>
  <c r="C51" i="1"/>
  <c r="B50" i="1"/>
  <c r="C50" i="1"/>
  <c r="A50"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1DC1D5-B878-43F6-9887-9513D396A288}" name="Query - Calender_Table" description="Connection to the 'Calender_Table' query in the workbook." type="100" refreshedVersion="8" minRefreshableVersion="5">
    <extLst>
      <ext xmlns:x15="http://schemas.microsoft.com/office/spreadsheetml/2010/11/main" uri="{DE250136-89BD-433C-8126-D09CA5730AF9}">
        <x15:connection id="e39bd6c2-14a0-4767-8c89-8a2c03c914b9"/>
      </ext>
    </extLst>
  </connection>
  <connection id="2" xr16:uid="{4BADB799-C58A-418F-8CB3-4FADFCD102F0}"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526cf12c-4830-45d8-a03d-9d2a7ca49946"/>
      </ext>
    </extLst>
  </connection>
  <connection id="3" xr16:uid="{9267F8B2-8BFD-4CD3-A688-D057EA82029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<sst xmlns="http://schemas.openxmlformats.org/spreadsheetml/2006/main" count="156" uniqueCount="76">
  <si>
    <t>Distinct Count of Patient Id</t>
  </si>
  <si>
    <t>No. Of Patient</t>
  </si>
  <si>
    <t>Average of Patient Waittime</t>
  </si>
  <si>
    <t>Average of Patient Satisfaction Score</t>
  </si>
  <si>
    <t>Row Labels</t>
  </si>
  <si>
    <t>Grand Total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</si>
  <si>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</si>
  <si>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</si>
  <si>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</si>
  <si>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</si>
  <si>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</si>
  <si>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</si>
  <si>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</si>
  <si>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</si>
  <si>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</si>
  <si>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</si>
  <si>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</si>
  <si>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</si>
  <si>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</si>
  <si>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</si>
  <si>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</si>
  <si>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</si>
  <si>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</si>
  <si>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</si>
  <si>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</si>
  <si>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</si>
  <si>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</si>
  <si>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</si>
  <si>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</si>
  <si>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</si>
  <si>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</si>
  <si>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</si>
  <si>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</si>
  <si>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</si>
  <si>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</si>
  <si>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</si>
  <si>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</si>
  <si>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no. of paitent</t>
  </si>
  <si>
    <t>Average wait time</t>
  </si>
  <si>
    <t>satisfaction score daily trend</t>
  </si>
  <si>
    <t>Admitted</t>
  </si>
  <si>
    <t>Not Admitted</t>
  </si>
  <si>
    <t>Count of Patient Admission Flag</t>
  </si>
  <si>
    <t>Count of Patient Admission Flag2</t>
  </si>
  <si>
    <t>Admission Status</t>
  </si>
  <si>
    <t>No. of Patient</t>
  </si>
  <si>
    <t>% Status</t>
  </si>
  <si>
    <t>0-09</t>
  </si>
  <si>
    <t>10-19</t>
  </si>
  <si>
    <t>20-29</t>
  </si>
  <si>
    <t>30-39</t>
  </si>
  <si>
    <t>40-49</t>
  </si>
  <si>
    <t>50-59</t>
  </si>
  <si>
    <t>60-69</t>
  </si>
  <si>
    <t>70-79</t>
  </si>
  <si>
    <t>Count of Age Group</t>
  </si>
  <si>
    <t>Age Group By analysis</t>
  </si>
  <si>
    <t>Count of Patient Id</t>
  </si>
  <si>
    <t>Delay</t>
  </si>
  <si>
    <t>Ontime</t>
  </si>
  <si>
    <t>Attend status</t>
  </si>
  <si>
    <t>Female</t>
  </si>
  <si>
    <t>Male</t>
  </si>
  <si>
    <t>Count of Patient Gender</t>
  </si>
  <si>
    <t>Gendr by analysis</t>
  </si>
  <si>
    <t>Cardiology</t>
  </si>
  <si>
    <t>Gastroenterology</t>
  </si>
  <si>
    <t>General Practice</t>
  </si>
  <si>
    <t>Neurology</t>
  </si>
  <si>
    <t>None</t>
  </si>
  <si>
    <t>Orthopedics</t>
  </si>
  <si>
    <t>Physiotherapy</t>
  </si>
  <si>
    <t>Renal</t>
  </si>
  <si>
    <t>Count of Department Referral</t>
  </si>
  <si>
    <t>No. of patient by department refral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</si>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</sst>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0"/>
      <color theme="1"/>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1" tint="0.499984740745262"/>
        <bgColor indexed="64"/>
      </patternFill>
    </fill>
    <fill>
      <patternFill patternType="solid">
        <fgColor theme="6" tint="-0.249977111117893"/>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0" fontId="0" fillId="0" borderId="0" xfId="0" applyNumberFormat="1"/>
    <xf numFmtId="1" fontId="0" fillId="0" borderId="0" xfId="0" applyNumberFormat="1"/>
    <xf numFmtId="10" fontId="0" fillId="0" borderId="0" xfId="0" applyNumberFormat="1"/>
    <xf numFmtId="0" fontId="0" fillId="7" borderId="0" xfId="0"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9" fontId="2" fillId="6" borderId="0" xfId="1" applyFont="1" applyFill="1" applyAlignment="1">
      <alignment horizontal="center"/>
    </xf>
    <xf numFmtId="0" fontId="0" fillId="0" borderId="0" xfId="0" applyFont="1"/>
  </cellXfs>
  <cellStyles count="2">
    <cellStyle name="Normal" xfId="0" builtinId="0"/>
    <cellStyle name="Percent" xfId="1" builtinId="5"/>
  </cellStyles>
  <dxfs count="326">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font>
        <b/>
        <color theme="1"/>
      </font>
      <border>
        <bottom style="thin">
          <color rgb="FF4F81BD"/>
        </bottom>
        <vertical/>
        <horizontal/>
      </border>
    </dxf>
    <dxf>
      <font>
        <sz val="7"/>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D01F472B-9539-4AA3-925D-1B24373178E8}">
      <tableStyleElement type="wholeTable" dxfId="325"/>
      <tableStyleElement type="headerRow" dxfId="324"/>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none"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clip" horzOverflow="clip" vert="horz" wrap="none"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3"/>
        <c:spPr>
          <a:solidFill>
            <a:schemeClr val="accent1"/>
          </a:solidFill>
          <a:ln>
            <a:noFill/>
          </a:ln>
          <a:effectLst/>
        </c:spPr>
        <c:dLbl>
          <c:idx val="0"/>
          <c:tx>
            <c:rich>
              <a:bodyPr rot="0" spcFirstLastPara="1" vertOverflow="clip" horzOverflow="clip" vert="horz" wrap="none" anchor="ctr" anchorCtr="1">
                <a:spAutoFit/>
              </a:bodyPr>
              <a:lstStyle/>
              <a:p>
                <a:pPr>
                  <a:defRPr sz="800" b="0" i="0" u="none" strike="noStrike" kern="1200" baseline="0">
                    <a:solidFill>
                      <a:schemeClr val="tx1">
                        <a:lumMod val="75000"/>
                        <a:lumOff val="25000"/>
                      </a:schemeClr>
                    </a:solidFill>
                    <a:latin typeface="+mn-lt"/>
                    <a:ea typeface="+mn-ea"/>
                    <a:cs typeface="+mn-cs"/>
                  </a:defRPr>
                </a:pPr>
                <a:fld id="{DD921D5C-B625-48C6-AC8A-D9EE6B751A98}" type="CELLRANGE">
                  <a:rPr lang="en-US" sz="700"/>
                  <a:pPr>
                    <a:defRPr sz="800"/>
                  </a:pPr>
                  <a:t>[CELLRANGE]</a:t>
                </a:fld>
                <a:endParaRPr lang="en-IN"/>
              </a:p>
            </c:rich>
          </c:tx>
          <c:spPr>
            <a:noFill/>
            <a:ln>
              <a:noFill/>
            </a:ln>
            <a:effectLst/>
          </c:spPr>
          <c:txPr>
            <a:bodyPr rot="0" spcFirstLastPara="1" vertOverflow="clip" horzOverflow="clip" vert="horz" wrap="none"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barChart>
        <c:barDir val="bar"/>
        <c:grouping val="clustered"/>
        <c:varyColors val="0"/>
        <c:ser>
          <c:idx val="0"/>
          <c:order val="0"/>
          <c:tx>
            <c:strRef>
              <c:f>'Pivot Report'!$C$40:$C$41</c:f>
              <c:strCache>
                <c:ptCount val="1"/>
                <c:pt idx="0">
                  <c:v>Count of Patient Admission Flag</c:v>
                </c:pt>
              </c:strCache>
            </c:strRef>
          </c:tx>
          <c:spPr>
            <a:solidFill>
              <a:schemeClr val="accent1"/>
            </a:solidFill>
            <a:ln>
              <a:noFill/>
            </a:ln>
            <a:effectLst/>
          </c:spPr>
          <c:invertIfNegative val="0"/>
          <c:dLbls>
            <c:dLbl>
              <c:idx val="1"/>
              <c:tx>
                <c:rich>
                  <a:bodyPr/>
                  <a:lstStyle/>
                  <a:p>
                    <a:fld id="{DD921D5C-B625-48C6-AC8A-D9EE6B751A98}" type="CELLRANGE">
                      <a:rPr lang="en-US" sz="700"/>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clip" horzOverflow="clip" vert="horz" wrap="none"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Report'!$C$40:$C$41</c:f>
              <c:strCache>
                <c:ptCount val="2"/>
                <c:pt idx="0">
                  <c:v>Admitted</c:v>
                </c:pt>
                <c:pt idx="1">
                  <c:v>Not Admitted</c:v>
                </c:pt>
              </c:strCache>
            </c:strRef>
          </c:cat>
          <c:val>
            <c:numRef>
              <c:f>'Pivot Report'!$C$40:$C$41</c:f>
              <c:numCache>
                <c:formatCode>0</c:formatCode>
                <c:ptCount val="2"/>
                <c:pt idx="0">
                  <c:v>269</c:v>
                </c:pt>
                <c:pt idx="1">
                  <c:v>244</c:v>
                </c:pt>
              </c:numCache>
            </c:numRef>
          </c:val>
          <c:extLst>
            <c:ext xmlns:c16="http://schemas.microsoft.com/office/drawing/2014/chart" uri="{C3380CC4-5D6E-409C-BE32-E72D297353CC}">
              <c16:uniqueId val="{00000009-21AD-4417-A7FE-9BA6B8C67999}"/>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0.52436647173489281</c:v>
                </c:pt>
                <c:pt idx="1">
                  <c:v>0.47563352826510719</c:v>
                </c:pt>
              </c:numCache>
            </c:numRef>
          </c:val>
          <c:extLst>
            <c:ext xmlns:c16="http://schemas.microsoft.com/office/drawing/2014/chart" uri="{C3380CC4-5D6E-409C-BE32-E72D297353CC}">
              <c16:uniqueId val="{0000000A-21AD-4417-A7FE-9BA6B8C67999}"/>
            </c:ext>
          </c:extLst>
        </c:ser>
        <c:dLbls>
          <c:showLegendKey val="0"/>
          <c:showVal val="0"/>
          <c:showCatName val="0"/>
          <c:showSerName val="0"/>
          <c:showPercent val="0"/>
          <c:showBubbleSize val="0"/>
        </c:dLbls>
        <c:gapWidth val="0"/>
        <c:overlap val="2"/>
        <c:axId val="546455960"/>
        <c:axId val="546453664"/>
      </c:barChart>
      <c:catAx>
        <c:axId val="546455960"/>
        <c:scaling>
          <c:orientation val="minMax"/>
        </c:scaling>
        <c:delete val="1"/>
        <c:axPos val="l"/>
        <c:numFmt formatCode="General" sourceLinked="1"/>
        <c:majorTickMark val="none"/>
        <c:minorTickMark val="none"/>
        <c:tickLblPos val="nextTo"/>
        <c:crossAx val="546453664"/>
        <c:crosses val="autoZero"/>
        <c:auto val="1"/>
        <c:lblAlgn val="ctr"/>
        <c:lblOffset val="100"/>
        <c:noMultiLvlLbl val="0"/>
      </c:catAx>
      <c:valAx>
        <c:axId val="546453664"/>
        <c:scaling>
          <c:orientation val="minMax"/>
        </c:scaling>
        <c:delete val="1"/>
        <c:axPos val="b"/>
        <c:numFmt formatCode="0" sourceLinked="1"/>
        <c:majorTickMark val="none"/>
        <c:minorTickMark val="none"/>
        <c:tickLblPos val="nextTo"/>
        <c:crossAx val="546455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7242830598402"/>
          <c:y val="0.40774321719095319"/>
          <c:w val="0.68725514338803195"/>
          <c:h val="0.35850496073729243"/>
        </c:manualLayout>
      </c:layout>
      <c:areaChart>
        <c:grouping val="standard"/>
        <c:varyColors val="0"/>
        <c:ser>
          <c:idx val="0"/>
          <c:order val="0"/>
          <c:tx>
            <c:strRef>
              <c:f>'Pivot Report'!$I$5</c:f>
              <c:strCache>
                <c:ptCount val="1"/>
                <c:pt idx="0">
                  <c:v>Total</c:v>
                </c:pt>
              </c:strCache>
            </c:strRef>
          </c:tx>
          <c:spPr>
            <a:solidFill>
              <a:schemeClr val="accent1"/>
            </a:solidFill>
            <a:ln w="25400">
              <a:noFill/>
            </a:ln>
            <a:effectLst/>
          </c:spPr>
          <c:cat>
            <c:strRef>
              <c:f>'Pivot Report'!$H$6:$H$37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Report'!$I$6:$I$37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639F-448D-B4EB-3E9117FB5C0D}"/>
            </c:ext>
          </c:extLst>
        </c:ser>
        <c:dLbls>
          <c:showLegendKey val="0"/>
          <c:showVal val="0"/>
          <c:showCatName val="0"/>
          <c:showSerName val="0"/>
          <c:showPercent val="0"/>
          <c:showBubbleSize val="0"/>
        </c:dLbls>
        <c:axId val="52786303"/>
        <c:axId val="52784007"/>
      </c:areaChart>
      <c:catAx>
        <c:axId val="52786303"/>
        <c:scaling>
          <c:orientation val="minMax"/>
        </c:scaling>
        <c:delete val="1"/>
        <c:axPos val="b"/>
        <c:numFmt formatCode="General" sourceLinked="1"/>
        <c:majorTickMark val="out"/>
        <c:minorTickMark val="none"/>
        <c:tickLblPos val="nextTo"/>
        <c:crossAx val="52784007"/>
        <c:crosses val="autoZero"/>
        <c:auto val="1"/>
        <c:lblAlgn val="ctr"/>
        <c:lblOffset val="100"/>
        <c:noMultiLvlLbl val="0"/>
      </c:catAx>
      <c:valAx>
        <c:axId val="52784007"/>
        <c:scaling>
          <c:orientation val="minMax"/>
        </c:scaling>
        <c:delete val="1"/>
        <c:axPos val="l"/>
        <c:numFmt formatCode="General" sourceLinked="1"/>
        <c:majorTickMark val="none"/>
        <c:minorTickMark val="none"/>
        <c:tickLblPos val="nextTo"/>
        <c:crossAx val="52786303"/>
        <c:crosses val="autoZero"/>
        <c:crossBetween val="midCat"/>
      </c:valAx>
      <c:spPr>
        <a:noFill/>
        <a:ln w="25400">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solidFill>
              <a:schemeClr val="accent1"/>
            </a:solidFill>
            <a:ln w="25400">
              <a:noFill/>
            </a:ln>
            <a:effectLst/>
          </c:spPr>
          <c:cat>
            <c:strRef>
              <c:f>'Pivot Report'!$K$6:$K$37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Report'!$L$6:$L$37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B0B5-4E89-8234-056CFF1E7834}"/>
            </c:ext>
          </c:extLst>
        </c:ser>
        <c:dLbls>
          <c:showLegendKey val="0"/>
          <c:showVal val="0"/>
          <c:showCatName val="0"/>
          <c:showSerName val="0"/>
          <c:showPercent val="0"/>
          <c:showBubbleSize val="0"/>
        </c:dLbls>
        <c:axId val="299691847"/>
        <c:axId val="299692503"/>
      </c:areaChart>
      <c:catAx>
        <c:axId val="299691847"/>
        <c:scaling>
          <c:orientation val="minMax"/>
        </c:scaling>
        <c:delete val="1"/>
        <c:axPos val="b"/>
        <c:numFmt formatCode="General" sourceLinked="1"/>
        <c:majorTickMark val="out"/>
        <c:minorTickMark val="none"/>
        <c:tickLblPos val="nextTo"/>
        <c:crossAx val="299692503"/>
        <c:crosses val="autoZero"/>
        <c:auto val="1"/>
        <c:lblAlgn val="ctr"/>
        <c:lblOffset val="100"/>
        <c:noMultiLvlLbl val="0"/>
      </c:catAx>
      <c:valAx>
        <c:axId val="299692503"/>
        <c:scaling>
          <c:orientation val="minMax"/>
        </c:scaling>
        <c:delete val="1"/>
        <c:axPos val="l"/>
        <c:numFmt formatCode="0.00" sourceLinked="1"/>
        <c:majorTickMark val="none"/>
        <c:minorTickMark val="none"/>
        <c:tickLblPos val="nextTo"/>
        <c:crossAx val="2996918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Report!PivotTable7</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04114538803617E-3"/>
          <c:y val="0.14193548387096774"/>
          <c:w val="0.99307958854611966"/>
          <c:h val="0.85806451612903223"/>
        </c:manualLayout>
      </c:layout>
      <c:areaChart>
        <c:grouping val="standard"/>
        <c:varyColors val="0"/>
        <c:ser>
          <c:idx val="0"/>
          <c:order val="0"/>
          <c:tx>
            <c:strRef>
              <c:f>'Pivot Report'!$O$5</c:f>
              <c:strCache>
                <c:ptCount val="1"/>
                <c:pt idx="0">
                  <c:v>Total</c:v>
                </c:pt>
              </c:strCache>
            </c:strRef>
          </c:tx>
          <c:spPr>
            <a:solidFill>
              <a:schemeClr val="accent1"/>
            </a:solidFill>
            <a:ln w="25400">
              <a:noFill/>
            </a:ln>
            <a:effectLst/>
          </c:spPr>
          <c:cat>
            <c:strRef>
              <c:f>'Pivot Report'!$N$6:$N$37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Report'!$O$6:$O$37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2F21-4A17-AA82-6B95264F4181}"/>
            </c:ext>
          </c:extLst>
        </c:ser>
        <c:dLbls>
          <c:showLegendKey val="0"/>
          <c:showVal val="0"/>
          <c:showCatName val="0"/>
          <c:showSerName val="0"/>
          <c:showPercent val="0"/>
          <c:showBubbleSize val="0"/>
        </c:dLbls>
        <c:axId val="305068559"/>
        <c:axId val="305070199"/>
      </c:areaChart>
      <c:catAx>
        <c:axId val="305068559"/>
        <c:scaling>
          <c:orientation val="minMax"/>
        </c:scaling>
        <c:delete val="1"/>
        <c:axPos val="b"/>
        <c:numFmt formatCode="General" sourceLinked="1"/>
        <c:majorTickMark val="out"/>
        <c:minorTickMark val="none"/>
        <c:tickLblPos val="nextTo"/>
        <c:crossAx val="305070199"/>
        <c:crosses val="autoZero"/>
        <c:auto val="1"/>
        <c:lblAlgn val="ctr"/>
        <c:lblOffset val="100"/>
        <c:noMultiLvlLbl val="0"/>
      </c:catAx>
      <c:valAx>
        <c:axId val="305070199"/>
        <c:scaling>
          <c:orientation val="minMax"/>
        </c:scaling>
        <c:delete val="1"/>
        <c:axPos val="l"/>
        <c:numFmt formatCode="0.00" sourceLinked="1"/>
        <c:majorTickMark val="none"/>
        <c:minorTickMark val="none"/>
        <c:tickLblPos val="nextTo"/>
        <c:crossAx val="3050685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2551-43C0-AB35-CA4F9A6E28BF}"/>
            </c:ext>
          </c:extLst>
        </c:ser>
        <c:dLbls>
          <c:showLegendKey val="0"/>
          <c:showVal val="0"/>
          <c:showCatName val="0"/>
          <c:showSerName val="0"/>
          <c:showPercent val="0"/>
          <c:showBubbleSize val="0"/>
        </c:dLbls>
        <c:gapWidth val="219"/>
        <c:overlap val="-27"/>
        <c:axId val="836879728"/>
        <c:axId val="836880384"/>
      </c:barChart>
      <c:catAx>
        <c:axId val="83687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36880384"/>
        <c:crosses val="autoZero"/>
        <c:auto val="1"/>
        <c:lblAlgn val="ctr"/>
        <c:lblOffset val="100"/>
        <c:noMultiLvlLbl val="0"/>
      </c:catAx>
      <c:valAx>
        <c:axId val="836880384"/>
        <c:scaling>
          <c:orientation val="minMax"/>
        </c:scaling>
        <c:delete val="1"/>
        <c:axPos val="l"/>
        <c:numFmt formatCode="0" sourceLinked="1"/>
        <c:majorTickMark val="none"/>
        <c:minorTickMark val="none"/>
        <c:tickLblPos val="nextTo"/>
        <c:crossAx val="83687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Report!PivotTable8</c:name>
    <c:fmtId val="7"/>
  </c:pivotSource>
  <c:chart>
    <c:autoTitleDeleted val="1"/>
    <c:pivotFmts>
      <c:pivotFmt>
        <c:idx val="0"/>
      </c:pivotFmt>
      <c:pivotFmt>
        <c:idx val="1"/>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197035229751212"/>
          <c:y val="0.17875617242759909"/>
          <c:w val="0.57491626926915829"/>
          <c:h val="0.6918483918323769"/>
        </c:manualLayout>
      </c:layout>
      <c:pieChart>
        <c:varyColors val="1"/>
        <c:ser>
          <c:idx val="0"/>
          <c:order val="0"/>
          <c:tx>
            <c:strRef>
              <c:f>'Pivot Report'!$F$54</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Report'!$E$55:$E$57</c:f>
              <c:strCache>
                <c:ptCount val="2"/>
                <c:pt idx="0">
                  <c:v>Delay</c:v>
                </c:pt>
                <c:pt idx="1">
                  <c:v>Ontime</c:v>
                </c:pt>
              </c:strCache>
            </c:strRef>
          </c:cat>
          <c:val>
            <c:numRef>
              <c:f>'Pivot Report'!$F$55:$F$57</c:f>
              <c:numCache>
                <c:formatCode>0</c:formatCode>
                <c:ptCount val="2"/>
                <c:pt idx="0">
                  <c:v>316</c:v>
                </c:pt>
                <c:pt idx="1">
                  <c:v>197</c:v>
                </c:pt>
              </c:numCache>
            </c:numRef>
          </c:val>
          <c:extLst>
            <c:ext xmlns:c16="http://schemas.microsoft.com/office/drawing/2014/chart" uri="{C3380CC4-5D6E-409C-BE32-E72D297353CC}">
              <c16:uniqueId val="{0000000E-B14C-4E16-B801-7A3D3EC4666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7294685990338161E-2"/>
          <c:y val="6.080868269844647E-2"/>
          <c:w val="0.81642512077294682"/>
          <c:h val="0.1396438958643683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Report!PivotTable9</c:name>
    <c:fmtId val="1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119880051511415"/>
              <c:y val="-5.42462884006058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129715794191361"/>
          <c:y val="0.18565898989139637"/>
          <c:w val="0.65814430374041988"/>
          <c:h val="0.67365860034324654"/>
        </c:manualLayout>
      </c:layout>
      <c:doughnutChart>
        <c:varyColors val="1"/>
        <c:ser>
          <c:idx val="0"/>
          <c:order val="0"/>
          <c:tx>
            <c:strRef>
              <c:f>'Pivot Report'!$I$54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dLbl>
              <c:idx val="0"/>
              <c:layout>
                <c:manualLayout>
                  <c:x val="0.2119880051511415"/>
                  <c:y val="-5.4246288400605851E-2"/>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Report'!$H$55:$H$57</c:f>
              <c:strCache>
                <c:ptCount val="2"/>
                <c:pt idx="0">
                  <c:v>Female</c:v>
                </c:pt>
                <c:pt idx="1">
                  <c:v>Male</c:v>
                </c:pt>
              </c:strCache>
            </c:strRef>
          </c:cat>
          <c:val>
            <c:numRef>
              <c:f>'Pivot Report'!$I$55:$I$57</c:f>
              <c:numCache>
                <c:formatCode>0</c:formatCode>
                <c:ptCount val="2"/>
                <c:pt idx="0">
                  <c:v>241</c:v>
                </c:pt>
                <c:pt idx="1">
                  <c:v>272</c:v>
                </c:pt>
              </c:numCache>
            </c:numRef>
          </c:val>
          <c:extLst>
            <c:ext xmlns:c16="http://schemas.microsoft.com/office/drawing/2014/chart" uri="{C3380CC4-5D6E-409C-BE32-E72D297353CC}">
              <c16:uniqueId val="{00000008-14DA-420A-8D45-A3C312A65FF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4683204040043454"/>
          <c:y val="5.0023129461491712E-2"/>
          <c:w val="0.64012088995296856"/>
          <c:h val="0.1415946327555503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Report!PivotTable10</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Report'!$I$60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Report'!$H$61:$H$69</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Report'!$I$61:$I$69</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1B46-4341-82CB-A434D9C9A0F2}"/>
            </c:ext>
          </c:extLst>
        </c:ser>
        <c:dLbls>
          <c:showLegendKey val="0"/>
          <c:showVal val="0"/>
          <c:showCatName val="0"/>
          <c:showSerName val="0"/>
          <c:showPercent val="0"/>
          <c:showBubbleSize val="0"/>
        </c:dLbls>
        <c:gapWidth val="40"/>
        <c:axId val="938727944"/>
        <c:axId val="938723680"/>
      </c:barChart>
      <c:catAx>
        <c:axId val="938727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938723680"/>
        <c:crosses val="autoZero"/>
        <c:auto val="1"/>
        <c:lblAlgn val="ctr"/>
        <c:lblOffset val="100"/>
        <c:noMultiLvlLbl val="0"/>
      </c:catAx>
      <c:valAx>
        <c:axId val="938723680"/>
        <c:scaling>
          <c:orientation val="minMax"/>
        </c:scaling>
        <c:delete val="1"/>
        <c:axPos val="b"/>
        <c:numFmt formatCode="0" sourceLinked="1"/>
        <c:majorTickMark val="none"/>
        <c:minorTickMark val="none"/>
        <c:tickLblPos val="nextTo"/>
        <c:crossAx val="938727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Report!PivotTable4</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614454057440346E-2"/>
          <c:y val="0.12030075187969924"/>
          <c:w val="0.90708142963611027"/>
          <c:h val="0.74184476940382449"/>
        </c:manualLayout>
      </c:layout>
      <c:areaChart>
        <c:grouping val="standard"/>
        <c:varyColors val="0"/>
        <c:ser>
          <c:idx val="0"/>
          <c:order val="0"/>
          <c:tx>
            <c:strRef>
              <c:f>'Pivot Report'!$I$5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Report'!$H$6:$H$37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Report'!$I$6:$I$37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745B-45B1-9DD2-554910C725C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786303"/>
        <c:axId val="52784007"/>
      </c:areaChart>
      <c:catAx>
        <c:axId val="527863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784007"/>
        <c:crosses val="autoZero"/>
        <c:auto val="1"/>
        <c:lblAlgn val="ctr"/>
        <c:lblOffset val="100"/>
        <c:noMultiLvlLbl val="0"/>
      </c:catAx>
      <c:valAx>
        <c:axId val="52784007"/>
        <c:scaling>
          <c:orientation val="minMax"/>
        </c:scaling>
        <c:delete val="1"/>
        <c:axPos val="l"/>
        <c:numFmt formatCode="General" sourceLinked="1"/>
        <c:majorTickMark val="out"/>
        <c:minorTickMark val="none"/>
        <c:tickLblPos val="nextTo"/>
        <c:crossAx val="52786303"/>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94168842471714E-2"/>
          <c:y val="9.2243186582809222E-2"/>
          <c:w val="0.96170583115752828"/>
          <c:h val="0.90775681341719072"/>
        </c:manualLayout>
      </c:layout>
      <c:areaChart>
        <c:grouping val="standard"/>
        <c:varyColors val="0"/>
        <c:ser>
          <c:idx val="0"/>
          <c:order val="0"/>
          <c:tx>
            <c:strRef>
              <c:f>'Pivot Report'!$L$5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Report'!$K$6:$K$37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Report'!$L$6:$L$37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488E-42DA-8AEC-7FDA1B60E15E}"/>
            </c:ext>
          </c:extLst>
        </c:ser>
        <c:dLbls>
          <c:showLegendKey val="0"/>
          <c:showVal val="0"/>
          <c:showCatName val="0"/>
          <c:showSerName val="0"/>
          <c:showPercent val="0"/>
          <c:showBubbleSize val="0"/>
        </c:dLbls>
        <c:axId val="299691847"/>
        <c:axId val="299692503"/>
      </c:areaChart>
      <c:catAx>
        <c:axId val="29969184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692503"/>
        <c:crosses val="autoZero"/>
        <c:auto val="1"/>
        <c:lblAlgn val="ctr"/>
        <c:lblOffset val="100"/>
        <c:noMultiLvlLbl val="0"/>
      </c:catAx>
      <c:valAx>
        <c:axId val="2996925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6918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Project.xlsx]Pivot Report!PivotTable7</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Report'!$N$6:$N$37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Report'!$O$6:$O$37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4285-4D50-90FD-C53D87852B1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05068559"/>
        <c:axId val="305070199"/>
      </c:areaChart>
      <c:catAx>
        <c:axId val="3050685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05070199"/>
        <c:crosses val="autoZero"/>
        <c:auto val="1"/>
        <c:lblAlgn val="ctr"/>
        <c:lblOffset val="100"/>
        <c:noMultiLvlLbl val="0"/>
      </c:catAx>
      <c:valAx>
        <c:axId val="30507019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50685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a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673100</xdr:colOff>
      <xdr:row>48</xdr:row>
      <xdr:rowOff>0</xdr:rowOff>
    </xdr:from>
    <xdr:to>
      <xdr:col>4</xdr:col>
      <xdr:colOff>101600</xdr:colOff>
      <xdr:row>51</xdr:row>
      <xdr:rowOff>114300</xdr:rowOff>
    </xdr:to>
    <xdr:graphicFrame macro="">
      <xdr:nvGraphicFramePr>
        <xdr:cNvPr id="2" name="Chart 1">
          <a:extLst>
            <a:ext uri="{FF2B5EF4-FFF2-40B4-BE49-F238E27FC236}">
              <a16:creationId xmlns:a16="http://schemas.microsoft.com/office/drawing/2014/main" id="{1A5F3497-29E7-F5CF-51A9-AD0DFF67F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35034</xdr:colOff>
      <xdr:row>0</xdr:row>
      <xdr:rowOff>52551</xdr:rowOff>
    </xdr:from>
    <xdr:to>
      <xdr:col>4</xdr:col>
      <xdr:colOff>280275</xdr:colOff>
      <xdr:row>2</xdr:row>
      <xdr:rowOff>131379</xdr:rowOff>
    </xdr:to>
    <xdr:sp macro="" textlink="">
      <xdr:nvSpPr>
        <xdr:cNvPr id="2" name="Rectangle: Rounded Corners 1">
          <a:extLst>
            <a:ext uri="{FF2B5EF4-FFF2-40B4-BE49-F238E27FC236}">
              <a16:creationId xmlns:a16="http://schemas.microsoft.com/office/drawing/2014/main" id="{E5F5606C-482A-1AFA-F185-43476A90235C}"/>
            </a:ext>
          </a:extLst>
        </xdr:cNvPr>
        <xdr:cNvSpPr/>
      </xdr:nvSpPr>
      <xdr:spPr>
        <a:xfrm>
          <a:off x="35034" y="52551"/>
          <a:ext cx="2680138" cy="44669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4</xdr:col>
      <xdr:colOff>323850</xdr:colOff>
      <xdr:row>0</xdr:row>
      <xdr:rowOff>56932</xdr:rowOff>
    </xdr:from>
    <xdr:to>
      <xdr:col>6</xdr:col>
      <xdr:colOff>63499</xdr:colOff>
      <xdr:row>2</xdr:row>
      <xdr:rowOff>146050</xdr:rowOff>
    </xdr:to>
    <xdr:sp macro="" textlink="">
      <xdr:nvSpPr>
        <xdr:cNvPr id="3" name="Rectangle: Rounded Corners 2">
          <a:extLst>
            <a:ext uri="{FF2B5EF4-FFF2-40B4-BE49-F238E27FC236}">
              <a16:creationId xmlns:a16="http://schemas.microsoft.com/office/drawing/2014/main" id="{9CB72E37-E807-5B66-1F13-88314D8E2932}"/>
            </a:ext>
          </a:extLst>
        </xdr:cNvPr>
        <xdr:cNvSpPr/>
      </xdr:nvSpPr>
      <xdr:spPr>
        <a:xfrm>
          <a:off x="2762250" y="56932"/>
          <a:ext cx="958849" cy="45741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122618</xdr:colOff>
      <xdr:row>0</xdr:row>
      <xdr:rowOff>65691</xdr:rowOff>
    </xdr:from>
    <xdr:to>
      <xdr:col>8</xdr:col>
      <xdr:colOff>166414</xdr:colOff>
      <xdr:row>6</xdr:row>
      <xdr:rowOff>83207</xdr:rowOff>
    </xdr:to>
    <xdr:sp macro="" textlink="">
      <xdr:nvSpPr>
        <xdr:cNvPr id="4" name="Rectangle: Rounded Corners 3">
          <a:extLst>
            <a:ext uri="{FF2B5EF4-FFF2-40B4-BE49-F238E27FC236}">
              <a16:creationId xmlns:a16="http://schemas.microsoft.com/office/drawing/2014/main" id="{8919398F-959D-8F94-18AD-7181983C8334}"/>
            </a:ext>
          </a:extLst>
        </xdr:cNvPr>
        <xdr:cNvSpPr/>
      </xdr:nvSpPr>
      <xdr:spPr>
        <a:xfrm>
          <a:off x="3774963" y="65691"/>
          <a:ext cx="1261244" cy="1121102"/>
        </a:xfrm>
        <a:prstGeom prst="roundRect">
          <a:avLst>
            <a:gd name="adj" fmla="val 9229"/>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205826</xdr:colOff>
      <xdr:row>0</xdr:row>
      <xdr:rowOff>61312</xdr:rowOff>
    </xdr:from>
    <xdr:to>
      <xdr:col>10</xdr:col>
      <xdr:colOff>249622</xdr:colOff>
      <xdr:row>6</xdr:row>
      <xdr:rowOff>87586</xdr:rowOff>
    </xdr:to>
    <xdr:sp macro="" textlink="">
      <xdr:nvSpPr>
        <xdr:cNvPr id="5" name="Rectangle: Rounded Corners 4">
          <a:extLst>
            <a:ext uri="{FF2B5EF4-FFF2-40B4-BE49-F238E27FC236}">
              <a16:creationId xmlns:a16="http://schemas.microsoft.com/office/drawing/2014/main" id="{9D4DA169-74F8-8F04-CE2B-97787F0D67B0}"/>
            </a:ext>
          </a:extLst>
        </xdr:cNvPr>
        <xdr:cNvSpPr/>
      </xdr:nvSpPr>
      <xdr:spPr>
        <a:xfrm>
          <a:off x="5075619" y="61312"/>
          <a:ext cx="1261244" cy="1129860"/>
        </a:xfrm>
        <a:prstGeom prst="roundRect">
          <a:avLst>
            <a:gd name="adj" fmla="val 9229"/>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39414</xdr:colOff>
      <xdr:row>3</xdr:row>
      <xdr:rowOff>0</xdr:rowOff>
    </xdr:from>
    <xdr:to>
      <xdr:col>1</xdr:col>
      <xdr:colOff>113862</xdr:colOff>
      <xdr:row>13</xdr:row>
      <xdr:rowOff>56931</xdr:rowOff>
    </xdr:to>
    <xdr:sp macro="" textlink="">
      <xdr:nvSpPr>
        <xdr:cNvPr id="6" name="Rectangle: Rounded Corners 5">
          <a:extLst>
            <a:ext uri="{FF2B5EF4-FFF2-40B4-BE49-F238E27FC236}">
              <a16:creationId xmlns:a16="http://schemas.microsoft.com/office/drawing/2014/main" id="{C9F40B8F-FEF3-8B48-A91E-6512D276F95A}"/>
            </a:ext>
          </a:extLst>
        </xdr:cNvPr>
        <xdr:cNvSpPr/>
      </xdr:nvSpPr>
      <xdr:spPr>
        <a:xfrm>
          <a:off x="39414" y="551793"/>
          <a:ext cx="683172" cy="1896241"/>
        </a:xfrm>
        <a:prstGeom prst="roundRect">
          <a:avLst>
            <a:gd name="adj" fmla="val 4291"/>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192688</xdr:colOff>
      <xdr:row>3</xdr:row>
      <xdr:rowOff>8760</xdr:rowOff>
    </xdr:from>
    <xdr:to>
      <xdr:col>2</xdr:col>
      <xdr:colOff>512380</xdr:colOff>
      <xdr:row>6</xdr:row>
      <xdr:rowOff>17519</xdr:rowOff>
    </xdr:to>
    <xdr:sp macro="" textlink="">
      <xdr:nvSpPr>
        <xdr:cNvPr id="7" name="Rectangle: Rounded Corners 6">
          <a:extLst>
            <a:ext uri="{FF2B5EF4-FFF2-40B4-BE49-F238E27FC236}">
              <a16:creationId xmlns:a16="http://schemas.microsoft.com/office/drawing/2014/main" id="{54674FEE-4DAE-136B-7F7A-2EA7B8295C0B}"/>
            </a:ext>
          </a:extLst>
        </xdr:cNvPr>
        <xdr:cNvSpPr/>
      </xdr:nvSpPr>
      <xdr:spPr>
        <a:xfrm>
          <a:off x="801412" y="560553"/>
          <a:ext cx="928416" cy="560552"/>
        </a:xfrm>
        <a:prstGeom prst="roundRect">
          <a:avLst>
            <a:gd name="adj" fmla="val 4291"/>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editAs="absolute">
    <xdr:from>
      <xdr:col>1</xdr:col>
      <xdr:colOff>175174</xdr:colOff>
      <xdr:row>8</xdr:row>
      <xdr:rowOff>127000</xdr:rowOff>
    </xdr:from>
    <xdr:to>
      <xdr:col>6</xdr:col>
      <xdr:colOff>70069</xdr:colOff>
      <xdr:row>13</xdr:row>
      <xdr:rowOff>70069</xdr:rowOff>
    </xdr:to>
    <xdr:sp macro="" textlink="">
      <xdr:nvSpPr>
        <xdr:cNvPr id="11" name="Rectangle: Rounded Corners 10">
          <a:extLst>
            <a:ext uri="{FF2B5EF4-FFF2-40B4-BE49-F238E27FC236}">
              <a16:creationId xmlns:a16="http://schemas.microsoft.com/office/drawing/2014/main" id="{C2B8EAAA-876A-A8AE-9E65-230E590FC183}"/>
            </a:ext>
          </a:extLst>
        </xdr:cNvPr>
        <xdr:cNvSpPr/>
      </xdr:nvSpPr>
      <xdr:spPr>
        <a:xfrm>
          <a:off x="783898" y="1598448"/>
          <a:ext cx="2938516" cy="862724"/>
        </a:xfrm>
        <a:prstGeom prst="roundRect">
          <a:avLst>
            <a:gd name="adj" fmla="val 4291"/>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editAs="absolute">
    <xdr:from>
      <xdr:col>6</xdr:col>
      <xdr:colOff>135759</xdr:colOff>
      <xdr:row>6</xdr:row>
      <xdr:rowOff>140138</xdr:rowOff>
    </xdr:from>
    <xdr:to>
      <xdr:col>10</xdr:col>
      <xdr:colOff>249621</xdr:colOff>
      <xdr:row>13</xdr:row>
      <xdr:rowOff>78828</xdr:rowOff>
    </xdr:to>
    <xdr:sp macro="" textlink="">
      <xdr:nvSpPr>
        <xdr:cNvPr id="13" name="Rectangle: Rounded Corners 12">
          <a:extLst>
            <a:ext uri="{FF2B5EF4-FFF2-40B4-BE49-F238E27FC236}">
              <a16:creationId xmlns:a16="http://schemas.microsoft.com/office/drawing/2014/main" id="{DADA3BD6-CEC3-E47D-2EEC-C23B5F21E3DE}"/>
            </a:ext>
          </a:extLst>
        </xdr:cNvPr>
        <xdr:cNvSpPr/>
      </xdr:nvSpPr>
      <xdr:spPr>
        <a:xfrm>
          <a:off x="3788104" y="1243724"/>
          <a:ext cx="2548758" cy="1226207"/>
        </a:xfrm>
        <a:prstGeom prst="roundRect">
          <a:avLst>
            <a:gd name="adj" fmla="val 2801"/>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564054</xdr:colOff>
      <xdr:row>3</xdr:row>
      <xdr:rowOff>12264</xdr:rowOff>
    </xdr:from>
    <xdr:to>
      <xdr:col>4</xdr:col>
      <xdr:colOff>267137</xdr:colOff>
      <xdr:row>6</xdr:row>
      <xdr:rowOff>21023</xdr:rowOff>
    </xdr:to>
    <xdr:sp macro="" textlink="">
      <xdr:nvSpPr>
        <xdr:cNvPr id="23" name="Rectangle: Rounded Corners 22">
          <a:extLst>
            <a:ext uri="{FF2B5EF4-FFF2-40B4-BE49-F238E27FC236}">
              <a16:creationId xmlns:a16="http://schemas.microsoft.com/office/drawing/2014/main" id="{501D8CDD-1C4F-4902-A2F1-1E40B6EE79BB}"/>
            </a:ext>
          </a:extLst>
        </xdr:cNvPr>
        <xdr:cNvSpPr/>
      </xdr:nvSpPr>
      <xdr:spPr>
        <a:xfrm>
          <a:off x="1781502" y="564057"/>
          <a:ext cx="920532" cy="560552"/>
        </a:xfrm>
        <a:prstGeom prst="roundRect">
          <a:avLst>
            <a:gd name="adj" fmla="val 4291"/>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editAs="absolute">
    <xdr:from>
      <xdr:col>4</xdr:col>
      <xdr:colOff>324069</xdr:colOff>
      <xdr:row>3</xdr:row>
      <xdr:rowOff>2629</xdr:rowOff>
    </xdr:from>
    <xdr:to>
      <xdr:col>6</xdr:col>
      <xdr:colOff>54183</xdr:colOff>
      <xdr:row>6</xdr:row>
      <xdr:rowOff>11388</xdr:rowOff>
    </xdr:to>
    <xdr:sp macro="" textlink="">
      <xdr:nvSpPr>
        <xdr:cNvPr id="24" name="Rectangle: Rounded Corners 23">
          <a:extLst>
            <a:ext uri="{FF2B5EF4-FFF2-40B4-BE49-F238E27FC236}">
              <a16:creationId xmlns:a16="http://schemas.microsoft.com/office/drawing/2014/main" id="{95CA8C0B-0EDF-49A5-A596-6661EAD06191}"/>
            </a:ext>
          </a:extLst>
        </xdr:cNvPr>
        <xdr:cNvSpPr/>
      </xdr:nvSpPr>
      <xdr:spPr>
        <a:xfrm>
          <a:off x="2758966" y="554422"/>
          <a:ext cx="947562" cy="560552"/>
        </a:xfrm>
        <a:prstGeom prst="roundRect">
          <a:avLst>
            <a:gd name="adj" fmla="val 4291"/>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editAs="absolute">
    <xdr:from>
      <xdr:col>0</xdr:col>
      <xdr:colOff>424793</xdr:colOff>
      <xdr:row>0</xdr:row>
      <xdr:rowOff>113862</xdr:rowOff>
    </xdr:from>
    <xdr:to>
      <xdr:col>4</xdr:col>
      <xdr:colOff>324069</xdr:colOff>
      <xdr:row>2</xdr:row>
      <xdr:rowOff>0</xdr:rowOff>
    </xdr:to>
    <xdr:sp macro="" textlink="">
      <xdr:nvSpPr>
        <xdr:cNvPr id="25" name="TextBox 24">
          <a:extLst>
            <a:ext uri="{FF2B5EF4-FFF2-40B4-BE49-F238E27FC236}">
              <a16:creationId xmlns:a16="http://schemas.microsoft.com/office/drawing/2014/main" id="{B83FB30A-7721-5AB0-51FC-2AFBDB1EB6B6}"/>
            </a:ext>
          </a:extLst>
        </xdr:cNvPr>
        <xdr:cNvSpPr txBox="1"/>
      </xdr:nvSpPr>
      <xdr:spPr>
        <a:xfrm>
          <a:off x="424793" y="113862"/>
          <a:ext cx="2334173"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a:t>Hospital Emergency Room</a:t>
          </a:r>
          <a:r>
            <a:rPr lang="en-IN" sz="1050" baseline="0"/>
            <a:t> Dashboard</a:t>
          </a:r>
          <a:endParaRPr lang="en-IN" sz="1050"/>
        </a:p>
      </xdr:txBody>
    </xdr:sp>
    <xdr:clientData/>
  </xdr:twoCellAnchor>
  <xdr:twoCellAnchor editAs="oneCell">
    <xdr:from>
      <xdr:col>0</xdr:col>
      <xdr:colOff>21898</xdr:colOff>
      <xdr:row>0</xdr:row>
      <xdr:rowOff>26276</xdr:rowOff>
    </xdr:from>
    <xdr:to>
      <xdr:col>0</xdr:col>
      <xdr:colOff>529898</xdr:colOff>
      <xdr:row>2</xdr:row>
      <xdr:rowOff>170793</xdr:rowOff>
    </xdr:to>
    <xdr:pic>
      <xdr:nvPicPr>
        <xdr:cNvPr id="29" name="Picture 28">
          <a:extLst>
            <a:ext uri="{FF2B5EF4-FFF2-40B4-BE49-F238E27FC236}">
              <a16:creationId xmlns:a16="http://schemas.microsoft.com/office/drawing/2014/main" id="{85642C6F-F5B1-581C-E127-6A2249322E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689" r="20207"/>
        <a:stretch/>
      </xdr:blipFill>
      <xdr:spPr>
        <a:xfrm>
          <a:off x="21898" y="26276"/>
          <a:ext cx="508000" cy="512379"/>
        </a:xfrm>
        <a:prstGeom prst="rect">
          <a:avLst/>
        </a:prstGeom>
      </xdr:spPr>
    </xdr:pic>
    <xdr:clientData/>
  </xdr:twoCellAnchor>
  <xdr:twoCellAnchor editAs="absolute">
    <xdr:from>
      <xdr:col>1</xdr:col>
      <xdr:colOff>240862</xdr:colOff>
      <xdr:row>4</xdr:row>
      <xdr:rowOff>13138</xdr:rowOff>
    </xdr:from>
    <xdr:to>
      <xdr:col>2</xdr:col>
      <xdr:colOff>543035</xdr:colOff>
      <xdr:row>4</xdr:row>
      <xdr:rowOff>157655</xdr:rowOff>
    </xdr:to>
    <xdr:sp macro="" textlink="">
      <xdr:nvSpPr>
        <xdr:cNvPr id="30" name="TextBox 29">
          <a:extLst>
            <a:ext uri="{FF2B5EF4-FFF2-40B4-BE49-F238E27FC236}">
              <a16:creationId xmlns:a16="http://schemas.microsoft.com/office/drawing/2014/main" id="{6DBF4CC9-D154-8E92-9CE8-936126DE953A}"/>
            </a:ext>
          </a:extLst>
        </xdr:cNvPr>
        <xdr:cNvSpPr txBox="1"/>
      </xdr:nvSpPr>
      <xdr:spPr>
        <a:xfrm>
          <a:off x="849586" y="748862"/>
          <a:ext cx="910897" cy="144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aseline="0"/>
            <a:t>No. of Patient</a:t>
          </a:r>
        </a:p>
        <a:p>
          <a:pPr algn="ctr"/>
          <a:endParaRPr lang="en-IN" sz="800" baseline="0"/>
        </a:p>
        <a:p>
          <a:pPr algn="ctr"/>
          <a:endParaRPr lang="en-IN" sz="900"/>
        </a:p>
      </xdr:txBody>
    </xdr:sp>
    <xdr:clientData/>
  </xdr:twoCellAnchor>
  <xdr:twoCellAnchor editAs="absolute">
    <xdr:from>
      <xdr:col>1</xdr:col>
      <xdr:colOff>240862</xdr:colOff>
      <xdr:row>3</xdr:row>
      <xdr:rowOff>43794</xdr:rowOff>
    </xdr:from>
    <xdr:to>
      <xdr:col>2</xdr:col>
      <xdr:colOff>543035</xdr:colOff>
      <xdr:row>4</xdr:row>
      <xdr:rowOff>39415</xdr:rowOff>
    </xdr:to>
    <xdr:sp macro="" textlink="">
      <xdr:nvSpPr>
        <xdr:cNvPr id="31" name="TextBox 30">
          <a:extLst>
            <a:ext uri="{FF2B5EF4-FFF2-40B4-BE49-F238E27FC236}">
              <a16:creationId xmlns:a16="http://schemas.microsoft.com/office/drawing/2014/main" id="{FFD51705-0288-08BB-5896-0A0E2748D946}"/>
            </a:ext>
          </a:extLst>
        </xdr:cNvPr>
        <xdr:cNvSpPr txBox="1"/>
      </xdr:nvSpPr>
      <xdr:spPr>
        <a:xfrm>
          <a:off x="849586" y="595587"/>
          <a:ext cx="910897" cy="179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800" baseline="0"/>
        </a:p>
        <a:p>
          <a:pPr algn="ctr"/>
          <a:endParaRPr lang="en-IN" sz="900"/>
        </a:p>
      </xdr:txBody>
    </xdr:sp>
    <xdr:clientData/>
  </xdr:twoCellAnchor>
  <xdr:twoCellAnchor editAs="absolute">
    <xdr:from>
      <xdr:col>1</xdr:col>
      <xdr:colOff>245241</xdr:colOff>
      <xdr:row>3</xdr:row>
      <xdr:rowOff>39414</xdr:rowOff>
    </xdr:from>
    <xdr:to>
      <xdr:col>2</xdr:col>
      <xdr:colOff>551792</xdr:colOff>
      <xdr:row>4</xdr:row>
      <xdr:rowOff>0</xdr:rowOff>
    </xdr:to>
    <xdr:sp macro="" textlink="'Pivot Report'!A5">
      <xdr:nvSpPr>
        <xdr:cNvPr id="32" name="TextBox 31">
          <a:extLst>
            <a:ext uri="{FF2B5EF4-FFF2-40B4-BE49-F238E27FC236}">
              <a16:creationId xmlns:a16="http://schemas.microsoft.com/office/drawing/2014/main" id="{40CC87FE-7591-8698-D7B6-90BE5A59F6CB}"/>
            </a:ext>
          </a:extLst>
        </xdr:cNvPr>
        <xdr:cNvSpPr txBox="1"/>
      </xdr:nvSpPr>
      <xdr:spPr>
        <a:xfrm>
          <a:off x="853965" y="591207"/>
          <a:ext cx="915275" cy="144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704BF32-AF50-4051-A303-2859BE98289D}" type="TxLink">
            <a:rPr lang="en-US" sz="1100" b="0" i="0" u="none" strike="noStrike">
              <a:solidFill>
                <a:srgbClr val="000000"/>
              </a:solidFill>
              <a:latin typeface="Calibri"/>
              <a:ea typeface="Calibri"/>
              <a:cs typeface="Calibri"/>
            </a:rPr>
            <a:pPr algn="ctr"/>
            <a:t>513</a:t>
          </a:fld>
          <a:endParaRPr lang="en-US"/>
        </a:p>
      </xdr:txBody>
    </xdr:sp>
    <xdr:clientData/>
  </xdr:twoCellAnchor>
  <xdr:twoCellAnchor editAs="absolute">
    <xdr:from>
      <xdr:col>2</xdr:col>
      <xdr:colOff>586828</xdr:colOff>
      <xdr:row>3</xdr:row>
      <xdr:rowOff>51675</xdr:rowOff>
    </xdr:from>
    <xdr:to>
      <xdr:col>4</xdr:col>
      <xdr:colOff>284654</xdr:colOff>
      <xdr:row>4</xdr:row>
      <xdr:rowOff>21897</xdr:rowOff>
    </xdr:to>
    <xdr:sp macro="" textlink="'Pivot Report'!A9">
      <xdr:nvSpPr>
        <xdr:cNvPr id="37" name="TextBox 36">
          <a:extLst>
            <a:ext uri="{FF2B5EF4-FFF2-40B4-BE49-F238E27FC236}">
              <a16:creationId xmlns:a16="http://schemas.microsoft.com/office/drawing/2014/main" id="{F5B81A36-A2AE-796E-6CAD-63242BA54961}"/>
            </a:ext>
          </a:extLst>
        </xdr:cNvPr>
        <xdr:cNvSpPr txBox="1"/>
      </xdr:nvSpPr>
      <xdr:spPr>
        <a:xfrm>
          <a:off x="1804276" y="603468"/>
          <a:ext cx="915275" cy="154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7CAA640-6F54-4A07-A996-C3950E56CCA3}" type="TxLink">
            <a:rPr lang="en-US" sz="1100" b="0" i="0" u="none" strike="noStrike">
              <a:solidFill>
                <a:srgbClr val="000000"/>
              </a:solidFill>
              <a:latin typeface="Calibri"/>
              <a:ea typeface="Calibri"/>
              <a:cs typeface="Calibri"/>
            </a:rPr>
            <a:pPr algn="ctr"/>
            <a:t>36.32</a:t>
          </a:fld>
          <a:endParaRPr lang="en-US"/>
        </a:p>
      </xdr:txBody>
    </xdr:sp>
    <xdr:clientData/>
  </xdr:twoCellAnchor>
  <xdr:twoCellAnchor editAs="absolute">
    <xdr:from>
      <xdr:col>2</xdr:col>
      <xdr:colOff>586828</xdr:colOff>
      <xdr:row>4</xdr:row>
      <xdr:rowOff>26276</xdr:rowOff>
    </xdr:from>
    <xdr:to>
      <xdr:col>4</xdr:col>
      <xdr:colOff>280276</xdr:colOff>
      <xdr:row>4</xdr:row>
      <xdr:rowOff>157655</xdr:rowOff>
    </xdr:to>
    <xdr:sp macro="" textlink="">
      <xdr:nvSpPr>
        <xdr:cNvPr id="38" name="TextBox 37">
          <a:extLst>
            <a:ext uri="{FF2B5EF4-FFF2-40B4-BE49-F238E27FC236}">
              <a16:creationId xmlns:a16="http://schemas.microsoft.com/office/drawing/2014/main" id="{4D88C8A5-0050-44B9-1BE9-F4BFAC09AE34}"/>
            </a:ext>
          </a:extLst>
        </xdr:cNvPr>
        <xdr:cNvSpPr txBox="1"/>
      </xdr:nvSpPr>
      <xdr:spPr>
        <a:xfrm>
          <a:off x="1804276" y="762000"/>
          <a:ext cx="910897" cy="131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aseline="0"/>
            <a:t>Average Wait Time</a:t>
          </a:r>
        </a:p>
        <a:p>
          <a:pPr algn="ctr"/>
          <a:endParaRPr lang="en-IN" sz="800" baseline="0"/>
        </a:p>
        <a:p>
          <a:pPr algn="ctr"/>
          <a:endParaRPr lang="en-IN" sz="900"/>
        </a:p>
      </xdr:txBody>
    </xdr:sp>
    <xdr:clientData/>
  </xdr:twoCellAnchor>
  <xdr:twoCellAnchor editAs="absolute">
    <xdr:from>
      <xdr:col>4</xdr:col>
      <xdr:colOff>363482</xdr:colOff>
      <xdr:row>4</xdr:row>
      <xdr:rowOff>56932</xdr:rowOff>
    </xdr:from>
    <xdr:to>
      <xdr:col>6</xdr:col>
      <xdr:colOff>74448</xdr:colOff>
      <xdr:row>4</xdr:row>
      <xdr:rowOff>175174</xdr:rowOff>
    </xdr:to>
    <xdr:sp macro="" textlink="">
      <xdr:nvSpPr>
        <xdr:cNvPr id="39" name="TextBox 38">
          <a:extLst>
            <a:ext uri="{FF2B5EF4-FFF2-40B4-BE49-F238E27FC236}">
              <a16:creationId xmlns:a16="http://schemas.microsoft.com/office/drawing/2014/main" id="{214C21B0-6E0D-B18A-0154-22E848682B69}"/>
            </a:ext>
          </a:extLst>
        </xdr:cNvPr>
        <xdr:cNvSpPr txBox="1"/>
      </xdr:nvSpPr>
      <xdr:spPr>
        <a:xfrm>
          <a:off x="2798379" y="792656"/>
          <a:ext cx="928414" cy="118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baseline="0"/>
            <a:t>Patient Satisfaction Score</a:t>
          </a:r>
        </a:p>
        <a:p>
          <a:pPr algn="ctr"/>
          <a:endParaRPr lang="en-IN" sz="800" baseline="0"/>
        </a:p>
        <a:p>
          <a:pPr algn="ctr"/>
          <a:endParaRPr lang="en-IN" sz="900"/>
        </a:p>
      </xdr:txBody>
    </xdr:sp>
    <xdr:clientData/>
  </xdr:twoCellAnchor>
  <xdr:twoCellAnchor editAs="absolute">
    <xdr:from>
      <xdr:col>4</xdr:col>
      <xdr:colOff>319688</xdr:colOff>
      <xdr:row>3</xdr:row>
      <xdr:rowOff>44450</xdr:rowOff>
    </xdr:from>
    <xdr:to>
      <xdr:col>6</xdr:col>
      <xdr:colOff>17515</xdr:colOff>
      <xdr:row>4</xdr:row>
      <xdr:rowOff>12700</xdr:rowOff>
    </xdr:to>
    <xdr:sp macro="" textlink="'Pivot Report'!A40">
      <xdr:nvSpPr>
        <xdr:cNvPr id="41" name="TextBox 40">
          <a:extLst>
            <a:ext uri="{FF2B5EF4-FFF2-40B4-BE49-F238E27FC236}">
              <a16:creationId xmlns:a16="http://schemas.microsoft.com/office/drawing/2014/main" id="{84D5298C-7E1E-D970-D9CB-D317AC3494A0}"/>
            </a:ext>
          </a:extLst>
        </xdr:cNvPr>
        <xdr:cNvSpPr txBox="1"/>
      </xdr:nvSpPr>
      <xdr:spPr>
        <a:xfrm>
          <a:off x="2758088" y="596900"/>
          <a:ext cx="917027"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652C3C9-006D-41F0-B589-74D073413241}" type="TxLink">
            <a:rPr lang="en-US" sz="1100" b="0" i="0" u="none" strike="noStrike">
              <a:solidFill>
                <a:srgbClr val="000000"/>
              </a:solidFill>
              <a:latin typeface="Calibri"/>
              <a:ea typeface="Calibri"/>
              <a:cs typeface="Calibri"/>
            </a:rPr>
            <a:pPr algn="ctr"/>
            <a:t>Admitted</a:t>
          </a:fld>
          <a:endParaRPr lang="en-US"/>
        </a:p>
      </xdr:txBody>
    </xdr:sp>
    <xdr:clientData/>
  </xdr:twoCellAnchor>
  <xdr:twoCellAnchor editAs="oneCell">
    <xdr:from>
      <xdr:col>2</xdr:col>
      <xdr:colOff>324069</xdr:colOff>
      <xdr:row>3</xdr:row>
      <xdr:rowOff>13139</xdr:rowOff>
    </xdr:from>
    <xdr:to>
      <xdr:col>2</xdr:col>
      <xdr:colOff>481723</xdr:colOff>
      <xdr:row>4</xdr:row>
      <xdr:rowOff>35036</xdr:rowOff>
    </xdr:to>
    <xdr:pic>
      <xdr:nvPicPr>
        <xdr:cNvPr id="43" name="Graphic 42" descr="Male profile with solid fill">
          <a:extLst>
            <a:ext uri="{FF2B5EF4-FFF2-40B4-BE49-F238E27FC236}">
              <a16:creationId xmlns:a16="http://schemas.microsoft.com/office/drawing/2014/main" id="{68F851DC-3CB8-208D-3093-002305C77E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41517" y="564932"/>
          <a:ext cx="157654" cy="205828"/>
        </a:xfrm>
        <a:prstGeom prst="rect">
          <a:avLst/>
        </a:prstGeom>
      </xdr:spPr>
    </xdr:pic>
    <xdr:clientData/>
  </xdr:twoCellAnchor>
  <xdr:twoCellAnchor editAs="oneCell">
    <xdr:from>
      <xdr:col>5</xdr:col>
      <xdr:colOff>468587</xdr:colOff>
      <xdr:row>3</xdr:row>
      <xdr:rowOff>17518</xdr:rowOff>
    </xdr:from>
    <xdr:to>
      <xdr:col>6</xdr:col>
      <xdr:colOff>43794</xdr:colOff>
      <xdr:row>4</xdr:row>
      <xdr:rowOff>61311</xdr:rowOff>
    </xdr:to>
    <xdr:pic>
      <xdr:nvPicPr>
        <xdr:cNvPr id="45" name="Graphic 44" descr="Stars with solid fill">
          <a:extLst>
            <a:ext uri="{FF2B5EF4-FFF2-40B4-BE49-F238E27FC236}">
              <a16:creationId xmlns:a16="http://schemas.microsoft.com/office/drawing/2014/main" id="{F2E4D550-F6ED-DB97-0606-F25FA79A31D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512208" y="569311"/>
          <a:ext cx="183931" cy="227724"/>
        </a:xfrm>
        <a:prstGeom prst="rect">
          <a:avLst/>
        </a:prstGeom>
      </xdr:spPr>
    </xdr:pic>
    <xdr:clientData/>
  </xdr:twoCellAnchor>
  <xdr:twoCellAnchor editAs="oneCell">
    <xdr:from>
      <xdr:col>4</xdr:col>
      <xdr:colOff>74448</xdr:colOff>
      <xdr:row>3</xdr:row>
      <xdr:rowOff>35034</xdr:rowOff>
    </xdr:from>
    <xdr:to>
      <xdr:col>4</xdr:col>
      <xdr:colOff>281267</xdr:colOff>
      <xdr:row>4</xdr:row>
      <xdr:rowOff>17516</xdr:rowOff>
    </xdr:to>
    <xdr:pic>
      <xdr:nvPicPr>
        <xdr:cNvPr id="47" name="Graphic 46" descr="Hourglass Finished with solid fill">
          <a:extLst>
            <a:ext uri="{FF2B5EF4-FFF2-40B4-BE49-F238E27FC236}">
              <a16:creationId xmlns:a16="http://schemas.microsoft.com/office/drawing/2014/main" id="{545765AC-2577-9E02-C725-B1DDA0AF599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509345" y="586827"/>
          <a:ext cx="206819" cy="166413"/>
        </a:xfrm>
        <a:prstGeom prst="rect">
          <a:avLst/>
        </a:prstGeom>
      </xdr:spPr>
    </xdr:pic>
    <xdr:clientData/>
  </xdr:twoCellAnchor>
  <xdr:twoCellAnchor editAs="oneCell">
    <xdr:from>
      <xdr:col>0</xdr:col>
      <xdr:colOff>65690</xdr:colOff>
      <xdr:row>3</xdr:row>
      <xdr:rowOff>65691</xdr:rowOff>
    </xdr:from>
    <xdr:to>
      <xdr:col>1</xdr:col>
      <xdr:colOff>87585</xdr:colOff>
      <xdr:row>13</xdr:row>
      <xdr:rowOff>65691</xdr:rowOff>
    </xdr:to>
    <mc:AlternateContent xmlns:mc="http://schemas.openxmlformats.org/markup-compatibility/2006" xmlns:a14="http://schemas.microsoft.com/office/drawing/2010/main">
      <mc:Choice Requires="a14">
        <xdr:graphicFrame macro="">
          <xdr:nvGraphicFramePr>
            <xdr:cNvPr id="48" name="Date (Month)">
              <a:extLst>
                <a:ext uri="{FF2B5EF4-FFF2-40B4-BE49-F238E27FC236}">
                  <a16:creationId xmlns:a16="http://schemas.microsoft.com/office/drawing/2014/main" id="{AB322C8D-BC15-4B02-B59F-36F686B9990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5690" y="618141"/>
              <a:ext cx="631495"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595587</xdr:colOff>
      <xdr:row>2</xdr:row>
      <xdr:rowOff>96345</xdr:rowOff>
    </xdr:from>
    <xdr:to>
      <xdr:col>3</xdr:col>
      <xdr:colOff>109483</xdr:colOff>
      <xdr:row>7</xdr:row>
      <xdr:rowOff>26275</xdr:rowOff>
    </xdr:to>
    <xdr:graphicFrame macro="">
      <xdr:nvGraphicFramePr>
        <xdr:cNvPr id="50" name="Chart 49">
          <a:hlinkClick xmlns:r="http://schemas.openxmlformats.org/officeDocument/2006/relationships" r:id="rId8"/>
          <a:extLst>
            <a:ext uri="{FF2B5EF4-FFF2-40B4-BE49-F238E27FC236}">
              <a16:creationId xmlns:a16="http://schemas.microsoft.com/office/drawing/2014/main" id="{5029A295-97DD-4078-8C48-8FD47CBE4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429173</xdr:colOff>
      <xdr:row>3</xdr:row>
      <xdr:rowOff>182179</xdr:rowOff>
    </xdr:from>
    <xdr:to>
      <xdr:col>4</xdr:col>
      <xdr:colOff>398517</xdr:colOff>
      <xdr:row>6</xdr:row>
      <xdr:rowOff>151305</xdr:rowOff>
    </xdr:to>
    <xdr:graphicFrame macro="">
      <xdr:nvGraphicFramePr>
        <xdr:cNvPr id="51" name="Chart 50">
          <a:hlinkClick xmlns:r="http://schemas.openxmlformats.org/officeDocument/2006/relationships" r:id="rId10"/>
          <a:extLst>
            <a:ext uri="{FF2B5EF4-FFF2-40B4-BE49-F238E27FC236}">
              <a16:creationId xmlns:a16="http://schemas.microsoft.com/office/drawing/2014/main" id="{7491D419-A0A7-451A-81DF-065C86933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323850</xdr:colOff>
      <xdr:row>4</xdr:row>
      <xdr:rowOff>82550</xdr:rowOff>
    </xdr:from>
    <xdr:to>
      <xdr:col>6</xdr:col>
      <xdr:colOff>50800</xdr:colOff>
      <xdr:row>6</xdr:row>
      <xdr:rowOff>6350</xdr:rowOff>
    </xdr:to>
    <xdr:graphicFrame macro="">
      <xdr:nvGraphicFramePr>
        <xdr:cNvPr id="52" name="Chart 51">
          <a:hlinkClick xmlns:r="http://schemas.openxmlformats.org/officeDocument/2006/relationships" r:id="rId12"/>
          <a:extLst>
            <a:ext uri="{FF2B5EF4-FFF2-40B4-BE49-F238E27FC236}">
              <a16:creationId xmlns:a16="http://schemas.microsoft.com/office/drawing/2014/main" id="{9F093229-BCE2-4646-BC54-4BF4E8504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184150</xdr:colOff>
      <xdr:row>8</xdr:row>
      <xdr:rowOff>82550</xdr:rowOff>
    </xdr:from>
    <xdr:to>
      <xdr:col>6</xdr:col>
      <xdr:colOff>19050</xdr:colOff>
      <xdr:row>12</xdr:row>
      <xdr:rowOff>176048</xdr:rowOff>
    </xdr:to>
    <xdr:graphicFrame macro="">
      <xdr:nvGraphicFramePr>
        <xdr:cNvPr id="46" name="Chart 45">
          <a:extLst>
            <a:ext uri="{FF2B5EF4-FFF2-40B4-BE49-F238E27FC236}">
              <a16:creationId xmlns:a16="http://schemas.microsoft.com/office/drawing/2014/main" id="{FBAA988A-E38A-44FF-8A37-BC435CDB6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2</xdr:col>
      <xdr:colOff>254000</xdr:colOff>
      <xdr:row>12</xdr:row>
      <xdr:rowOff>107950</xdr:rowOff>
    </xdr:from>
    <xdr:to>
      <xdr:col>4</xdr:col>
      <xdr:colOff>425450</xdr:colOff>
      <xdr:row>13</xdr:row>
      <xdr:rowOff>76200</xdr:rowOff>
    </xdr:to>
    <xdr:sp macro="" textlink="">
      <xdr:nvSpPr>
        <xdr:cNvPr id="49" name="TextBox 48">
          <a:extLst>
            <a:ext uri="{FF2B5EF4-FFF2-40B4-BE49-F238E27FC236}">
              <a16:creationId xmlns:a16="http://schemas.microsoft.com/office/drawing/2014/main" id="{DB807215-8F37-4749-84B8-75BAEC86AA47}"/>
            </a:ext>
          </a:extLst>
        </xdr:cNvPr>
        <xdr:cNvSpPr txBox="1"/>
      </xdr:nvSpPr>
      <xdr:spPr>
        <a:xfrm>
          <a:off x="1473200" y="2317750"/>
          <a:ext cx="13906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0" baseline="0"/>
            <a:t>No. of Patient By Age Group</a:t>
          </a:r>
        </a:p>
        <a:p>
          <a:pPr algn="ctr"/>
          <a:endParaRPr lang="en-IN" sz="800" baseline="0"/>
        </a:p>
        <a:p>
          <a:pPr algn="ctr"/>
          <a:endParaRPr lang="en-IN" sz="900"/>
        </a:p>
      </xdr:txBody>
    </xdr:sp>
    <xdr:clientData/>
  </xdr:twoCellAnchor>
  <mc:AlternateContent xmlns:mc="http://schemas.openxmlformats.org/markup-compatibility/2006">
    <mc:Choice xmlns:a14="http://schemas.microsoft.com/office/drawing/2010/main" Requires="a14">
      <xdr:twoCellAnchor editAs="oneCell">
        <xdr:from>
          <xdr:col>1</xdr:col>
          <xdr:colOff>171451</xdr:colOff>
          <xdr:row>6</xdr:row>
          <xdr:rowOff>44450</xdr:rowOff>
        </xdr:from>
        <xdr:to>
          <xdr:col>6</xdr:col>
          <xdr:colOff>69850</xdr:colOff>
          <xdr:row>8</xdr:row>
          <xdr:rowOff>95763</xdr:rowOff>
        </xdr:to>
        <xdr:pic>
          <xdr:nvPicPr>
            <xdr:cNvPr id="55" name="Picture 54">
              <a:extLst>
                <a:ext uri="{FF2B5EF4-FFF2-40B4-BE49-F238E27FC236}">
                  <a16:creationId xmlns:a16="http://schemas.microsoft.com/office/drawing/2014/main" id="{9A0367E0-6256-1CF4-CBCC-356EE3035392}"/>
                </a:ext>
              </a:extLst>
            </xdr:cNvPr>
            <xdr:cNvPicPr>
              <a:picLocks noChangeAspect="1" noChangeArrowheads="1"/>
              <a:extLst>
                <a:ext uri="{84589F7E-364E-4C9E-8A38-B11213B215E9}">
                  <a14:cameraTool cellRange="'Pivot Report'!$A$49:$D$51" spid="_x0000_s1038"/>
                </a:ext>
              </a:extLst>
            </xdr:cNvPicPr>
          </xdr:nvPicPr>
          <xdr:blipFill>
            <a:blip xmlns:r="http://schemas.openxmlformats.org/officeDocument/2006/relationships" r:embed="rId15"/>
            <a:srcRect/>
            <a:stretch>
              <a:fillRect/>
            </a:stretch>
          </xdr:blipFill>
          <xdr:spPr bwMode="auto">
            <a:xfrm>
              <a:off x="781051" y="1149350"/>
              <a:ext cx="2946399" cy="419613"/>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6</xdr:col>
      <xdr:colOff>82550</xdr:colOff>
      <xdr:row>0</xdr:row>
      <xdr:rowOff>76200</xdr:rowOff>
    </xdr:from>
    <xdr:to>
      <xdr:col>8</xdr:col>
      <xdr:colOff>215900</xdr:colOff>
      <xdr:row>6</xdr:row>
      <xdr:rowOff>95250</xdr:rowOff>
    </xdr:to>
    <xdr:graphicFrame macro="">
      <xdr:nvGraphicFramePr>
        <xdr:cNvPr id="56" name="Chart 55">
          <a:extLst>
            <a:ext uri="{FF2B5EF4-FFF2-40B4-BE49-F238E27FC236}">
              <a16:creationId xmlns:a16="http://schemas.microsoft.com/office/drawing/2014/main" id="{C392DADC-81B3-4867-9892-B2D397BA3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6</xdr:col>
      <xdr:colOff>317062</xdr:colOff>
      <xdr:row>5</xdr:row>
      <xdr:rowOff>146488</xdr:rowOff>
    </xdr:from>
    <xdr:to>
      <xdr:col>8</xdr:col>
      <xdr:colOff>9635</xdr:colOff>
      <xdr:row>6</xdr:row>
      <xdr:rowOff>106855</xdr:rowOff>
    </xdr:to>
    <xdr:sp macro="" textlink="">
      <xdr:nvSpPr>
        <xdr:cNvPr id="57" name="TextBox 56">
          <a:extLst>
            <a:ext uri="{FF2B5EF4-FFF2-40B4-BE49-F238E27FC236}">
              <a16:creationId xmlns:a16="http://schemas.microsoft.com/office/drawing/2014/main" id="{52906432-95FA-36C3-9190-70D1C97FD1F7}"/>
            </a:ext>
          </a:extLst>
        </xdr:cNvPr>
        <xdr:cNvSpPr txBox="1"/>
      </xdr:nvSpPr>
      <xdr:spPr>
        <a:xfrm>
          <a:off x="3974662" y="1067238"/>
          <a:ext cx="911773" cy="144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aseline="0"/>
            <a:t>Patient Attend Status</a:t>
          </a:r>
        </a:p>
        <a:p>
          <a:pPr algn="ctr"/>
          <a:endParaRPr lang="en-IN" sz="800" baseline="0"/>
        </a:p>
        <a:p>
          <a:pPr algn="ctr"/>
          <a:endParaRPr lang="en-IN" sz="900"/>
        </a:p>
      </xdr:txBody>
    </xdr:sp>
    <xdr:clientData/>
  </xdr:twoCellAnchor>
  <xdr:twoCellAnchor>
    <xdr:from>
      <xdr:col>8</xdr:col>
      <xdr:colOff>205169</xdr:colOff>
      <xdr:row>0</xdr:row>
      <xdr:rowOff>61313</xdr:rowOff>
    </xdr:from>
    <xdr:to>
      <xdr:col>10</xdr:col>
      <xdr:colOff>184150</xdr:colOff>
      <xdr:row>6</xdr:row>
      <xdr:rowOff>127000</xdr:rowOff>
    </xdr:to>
    <xdr:graphicFrame macro="">
      <xdr:nvGraphicFramePr>
        <xdr:cNvPr id="58" name="Chart 57">
          <a:extLst>
            <a:ext uri="{FF2B5EF4-FFF2-40B4-BE49-F238E27FC236}">
              <a16:creationId xmlns:a16="http://schemas.microsoft.com/office/drawing/2014/main" id="{42582CCD-5198-4423-8A19-835209956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361512</xdr:colOff>
      <xdr:row>5</xdr:row>
      <xdr:rowOff>152838</xdr:rowOff>
    </xdr:from>
    <xdr:to>
      <xdr:col>10</xdr:col>
      <xdr:colOff>54085</xdr:colOff>
      <xdr:row>6</xdr:row>
      <xdr:rowOff>113205</xdr:rowOff>
    </xdr:to>
    <xdr:sp macro="" textlink="">
      <xdr:nvSpPr>
        <xdr:cNvPr id="59" name="TextBox 58">
          <a:extLst>
            <a:ext uri="{FF2B5EF4-FFF2-40B4-BE49-F238E27FC236}">
              <a16:creationId xmlns:a16="http://schemas.microsoft.com/office/drawing/2014/main" id="{3415FE78-E2D3-B334-B4DA-EC037F49603F}"/>
            </a:ext>
          </a:extLst>
        </xdr:cNvPr>
        <xdr:cNvSpPr txBox="1"/>
      </xdr:nvSpPr>
      <xdr:spPr>
        <a:xfrm>
          <a:off x="5238312" y="1073588"/>
          <a:ext cx="911773" cy="144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aseline="0"/>
            <a:t>Gender By Analysis</a:t>
          </a:r>
        </a:p>
        <a:p>
          <a:pPr algn="ctr"/>
          <a:endParaRPr lang="en-IN" sz="800" baseline="0"/>
        </a:p>
        <a:p>
          <a:pPr algn="ctr"/>
          <a:endParaRPr lang="en-IN" sz="900"/>
        </a:p>
      </xdr:txBody>
    </xdr:sp>
    <xdr:clientData/>
  </xdr:twoCellAnchor>
  <xdr:twoCellAnchor>
    <xdr:from>
      <xdr:col>6</xdr:col>
      <xdr:colOff>133350</xdr:colOff>
      <xdr:row>6</xdr:row>
      <xdr:rowOff>101600</xdr:rowOff>
    </xdr:from>
    <xdr:to>
      <xdr:col>10</xdr:col>
      <xdr:colOff>222250</xdr:colOff>
      <xdr:row>13</xdr:row>
      <xdr:rowOff>76200</xdr:rowOff>
    </xdr:to>
    <xdr:graphicFrame macro="">
      <xdr:nvGraphicFramePr>
        <xdr:cNvPr id="61" name="Chart 60">
          <a:extLst>
            <a:ext uri="{FF2B5EF4-FFF2-40B4-BE49-F238E27FC236}">
              <a16:creationId xmlns:a16="http://schemas.microsoft.com/office/drawing/2014/main" id="{E3C2E0D6-B3CD-4C23-ABA3-43789CD5D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120650</xdr:colOff>
      <xdr:row>12</xdr:row>
      <xdr:rowOff>133789</xdr:rowOff>
    </xdr:from>
    <xdr:to>
      <xdr:col>9</xdr:col>
      <xdr:colOff>447785</xdr:colOff>
      <xdr:row>13</xdr:row>
      <xdr:rowOff>69851</xdr:rowOff>
    </xdr:to>
    <xdr:sp macro="" textlink="">
      <xdr:nvSpPr>
        <xdr:cNvPr id="63" name="TextBox 62">
          <a:extLst>
            <a:ext uri="{FF2B5EF4-FFF2-40B4-BE49-F238E27FC236}">
              <a16:creationId xmlns:a16="http://schemas.microsoft.com/office/drawing/2014/main" id="{D7372EA5-8BB2-572D-124A-50C48674AFFB}"/>
            </a:ext>
          </a:extLst>
        </xdr:cNvPr>
        <xdr:cNvSpPr txBox="1"/>
      </xdr:nvSpPr>
      <xdr:spPr>
        <a:xfrm>
          <a:off x="4387850" y="2343589"/>
          <a:ext cx="1546335" cy="120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aseline="0"/>
            <a:t>No. Of patient by Department referal</a:t>
          </a:r>
        </a:p>
        <a:p>
          <a:pPr algn="ctr"/>
          <a:endParaRPr lang="en-IN" sz="800" baseline="0"/>
        </a:p>
        <a:p>
          <a:pPr algn="ctr"/>
          <a:endParaRPr lang="en-IN" sz="900"/>
        </a:p>
      </xdr:txBody>
    </xdr:sp>
    <xdr:clientData/>
  </xdr:twoCellAnchor>
  <xdr:twoCellAnchor editAs="oneCell">
    <xdr:from>
      <xdr:col>4</xdr:col>
      <xdr:colOff>342900</xdr:colOff>
      <xdr:row>0</xdr:row>
      <xdr:rowOff>82550</xdr:rowOff>
    </xdr:from>
    <xdr:to>
      <xdr:col>6</xdr:col>
      <xdr:colOff>44450</xdr:colOff>
      <xdr:row>2</xdr:row>
      <xdr:rowOff>127000</xdr:rowOff>
    </xdr:to>
    <mc:AlternateContent xmlns:mc="http://schemas.openxmlformats.org/markup-compatibility/2006">
      <mc:Choice xmlns:a14="http://schemas.microsoft.com/office/drawing/2010/main" Requires="a14">
        <xdr:graphicFrame macro="">
          <xdr:nvGraphicFramePr>
            <xdr:cNvPr id="64" name="Date (Year)">
              <a:extLst>
                <a:ext uri="{FF2B5EF4-FFF2-40B4-BE49-F238E27FC236}">
                  <a16:creationId xmlns:a16="http://schemas.microsoft.com/office/drawing/2014/main" id="{705E1072-C635-4BC6-AA9F-345127931DE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781300" y="82550"/>
              <a:ext cx="920750" cy="412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107950</xdr:colOff>
      <xdr:row>1</xdr:row>
      <xdr:rowOff>0</xdr:rowOff>
    </xdr:from>
    <xdr:to>
      <xdr:col>11</xdr:col>
      <xdr:colOff>247650</xdr:colOff>
      <xdr:row>16</xdr:row>
      <xdr:rowOff>139700</xdr:rowOff>
    </xdr:to>
    <xdr:graphicFrame macro="">
      <xdr:nvGraphicFramePr>
        <xdr:cNvPr id="2" name="Chart 1">
          <a:extLst>
            <a:ext uri="{FF2B5EF4-FFF2-40B4-BE49-F238E27FC236}">
              <a16:creationId xmlns:a16="http://schemas.microsoft.com/office/drawing/2014/main" id="{4249A4B9-74A3-40AF-ABE5-79AEE517B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0.08071</cdr:x>
      <cdr:y>0.18381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AAF7F82-5560-A144-B2D7-EDB1E9B7174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52450" cy="533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7471</xdr:colOff>
      <xdr:row>2</xdr:row>
      <xdr:rowOff>112059</xdr:rowOff>
    </xdr:from>
    <xdr:to>
      <xdr:col>12</xdr:col>
      <xdr:colOff>596900</xdr:colOff>
      <xdr:row>16</xdr:row>
      <xdr:rowOff>82549</xdr:rowOff>
    </xdr:to>
    <xdr:graphicFrame macro="">
      <xdr:nvGraphicFramePr>
        <xdr:cNvPr id="2" name="Chart 1">
          <a:extLst>
            <a:ext uri="{FF2B5EF4-FFF2-40B4-BE49-F238E27FC236}">
              <a16:creationId xmlns:a16="http://schemas.microsoft.com/office/drawing/2014/main" id="{8F0FE35D-93CC-4AB6-8BAC-A9858B6DC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74706</xdr:colOff>
      <xdr:row>0</xdr:row>
      <xdr:rowOff>22412</xdr:rowOff>
    </xdr:from>
    <xdr:to>
      <xdr:col>1</xdr:col>
      <xdr:colOff>14568</xdr:colOff>
      <xdr:row>2</xdr:row>
      <xdr:rowOff>182283</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6229AE82-C904-F8A6-E500-3B0668E491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4706" y="22412"/>
          <a:ext cx="552450" cy="533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0</xdr:rowOff>
    </xdr:from>
    <xdr:to>
      <xdr:col>13</xdr:col>
      <xdr:colOff>425824</xdr:colOff>
      <xdr:row>17</xdr:row>
      <xdr:rowOff>113552</xdr:rowOff>
    </xdr:to>
    <xdr:graphicFrame macro="">
      <xdr:nvGraphicFramePr>
        <xdr:cNvPr id="4" name="Chart 3">
          <a:extLst>
            <a:ext uri="{FF2B5EF4-FFF2-40B4-BE49-F238E27FC236}">
              <a16:creationId xmlns:a16="http://schemas.microsoft.com/office/drawing/2014/main" id="{0F968A4C-B129-4C18-837A-E12EA339B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29883</xdr:colOff>
      <xdr:row>0</xdr:row>
      <xdr:rowOff>0</xdr:rowOff>
    </xdr:from>
    <xdr:to>
      <xdr:col>0</xdr:col>
      <xdr:colOff>582333</xdr:colOff>
      <xdr:row>2</xdr:row>
      <xdr:rowOff>159871</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532371AD-C7ED-40A5-9391-53F1B63FD0C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9883" y="0"/>
          <a:ext cx="552450" cy="533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503957638888" createdVersion="5" refreshedVersion="8" minRefreshableVersion="3" recordCount="0" supportSubquery="1" supportAdvancedDrill="1" xr:uid="{07BB94FA-B645-4315-9F7D-485153D6F3DD}">
  <cacheSource type="external" connectionId="3"/>
  <cacheFields count="4">
    <cacheField name="[Measures].[Distinct Count of Patient Id]" caption="Distinct Count of Patient Id" numFmtId="0" hierarchy="26"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50395810185" createdVersion="5" refreshedVersion="8" minRefreshableVersion="3" recordCount="0" supportSubquery="1" supportAdvancedDrill="1" xr:uid="{41834E65-3575-468F-A50B-5FAE430EE6CF}">
  <cacheSource type="external" connectionId="3"/>
  <cacheFields count="3">
    <cacheField name="[Measures].[Distinct Count of Patient Id]" caption="Distinct Count of Patient Id"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503958333335" createdVersion="5" refreshedVersion="8" minRefreshableVersion="3" recordCount="0" supportSubquery="1" supportAdvancedDrill="1" xr:uid="{D03915F2-7A9B-4716-A4B4-747C0D2C369F}">
  <cacheSource type="external" connectionId="3"/>
  <cacheFields count="3">
    <cacheField name="[Measures].[Average of Patient Waittime]" caption="Average of Patient Waittim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503959027781" createdVersion="5" refreshedVersion="8" minRefreshableVersion="3" recordCount="0" supportSubquery="1" supportAdvancedDrill="1" xr:uid="{33DC092D-22DB-4AB7-ADAD-AA8D8F5A8542}">
  <cacheSource type="external" connectionId="3"/>
  <cacheFields count="5">
    <cacheField name="[Calender_Table].[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3" level="32767"/>
    <cacheField name="[Calender_Table].[Date (Year)].[Date (Year)]" caption="Date (Year)" numFmtId="0" hierarchy="3" level="1">
      <sharedItems containsSemiMixedTypes="0" containsNonDate="0" containsString="0"/>
    </cacheField>
    <cacheField name="Dummy0" numFmtId="0" hierarchy="37" level="32767">
      <extLst>
        <ext xmlns:x14="http://schemas.microsoft.com/office/spreadsheetml/2009/9/main" uri="{63CAB8AC-B538-458d-9737-405883B0398D}">
          <x14:cacheField ignore="1"/>
        </ext>
      </extLst>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503959606482" createdVersion="5" refreshedVersion="8" minRefreshableVersion="3" recordCount="0" supportSubquery="1" supportAdvancedDrill="1" xr:uid="{93D5F046-E41C-457F-9B37-A3B6DF816CF0}">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8"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503960185182" createdVersion="5" refreshedVersion="8" minRefreshableVersion="3" recordCount="0" supportSubquery="1" supportAdvancedDrill="1" xr:uid="{B3231901-F118-44BB-B4A2-297C988C5CD0}">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0"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503960532405" createdVersion="5" refreshedVersion="8" minRefreshableVersion="3" recordCount="0" supportSubquery="1" supportAdvancedDrill="1" xr:uid="{16DA26CF-BA52-4D18-991D-3ED8F12C1614}">
  <cacheSource type="external" connectionId="3"/>
  <cacheFields count="4">
    <cacheField name="[Calender_Table].[Date (Month)].[Date (Month)]" caption="Date (Month)" numFmtId="0" hierarchy="1" level="1">
      <sharedItems containsSemiMixedTypes="0" containsNonDate="0" containsString="0"/>
    </cacheField>
    <cacheField name="[Hospital Emergency Room Data  1].[Age Group].[Age Group]" caption="Age Group" numFmtId="0" hierarchy="16" level="1">
      <sharedItems count="8">
        <s v="0-09"/>
        <s v="10-19"/>
        <s v="20-29"/>
        <s v="30-39"/>
        <s v="40-49"/>
        <s v="50-59"/>
        <s v="60-69"/>
        <s v="70-79"/>
      </sharedItems>
    </cacheField>
    <cacheField name="[Measures].[Count of Age Group]" caption="Count of Age Group" numFmtId="0" hierarchy="34"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1"/>
      </fieldsUsage>
    </cacheHierarchy>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503961111113" createdVersion="5" refreshedVersion="8" minRefreshableVersion="3" recordCount="0" supportSubquery="1" supportAdvancedDrill="1" xr:uid="{6C0D08D9-42DE-473E-A8FE-EEA39B08ADB9}">
  <cacheSource type="external" connectionId="3"/>
  <cacheFields count="4">
    <cacheField name="[Calender_Table].[Date (Month)].[Date (Month)]" caption="Date (Month)" numFmtId="0" hierarchy="1" level="1">
      <sharedItems containsSemiMixedTypes="0" containsNonDate="0" containsString="0"/>
    </cacheField>
    <cacheField name="[Hospital Emergency Room Data  1].[Patient Attend Status].[Patient Attend Status]" caption="Patient Attend Status" numFmtId="0" hierarchy="17" level="1">
      <sharedItems count="2">
        <s v="Delay"/>
        <s v="Ontime"/>
      </sharedItems>
    </cacheField>
    <cacheField name="[Measures].[Count of Patient Id]" caption="Count of Patient Id" numFmtId="0" hierarchy="25"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1"/>
      </fieldsUsage>
    </cacheHierarchy>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503961689814" createdVersion="5" refreshedVersion="8" minRefreshableVersion="3" recordCount="0" supportSubquery="1" supportAdvancedDrill="1" xr:uid="{EACAB139-6B26-4ABC-87B6-89271AD2EE40}">
  <cacheSource type="external" connectionId="3"/>
  <cacheFields count="4">
    <cacheField name="[Calender_Table].[Date (Month)].[Date (Month)]" caption="Date (Month)" numFmtId="0" hierarchy="1" level="1">
      <sharedItems containsSemiMixedTypes="0" containsNonDate="0" containsString="0"/>
    </cacheField>
    <cacheField name="[Hospital Emergency Room Data  1].[Patient Gender].[Patient Gender]" caption="Patient Gender" numFmtId="0" hierarchy="9" level="1">
      <sharedItems count="2">
        <s v="Female"/>
        <s v="Male"/>
      </sharedItems>
    </cacheField>
    <cacheField name="[Measures].[Count of Patient Gender]" caption="Count of Patient Gender" numFmtId="0" hierarchy="35"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1"/>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503962152776" createdVersion="5" refreshedVersion="8" minRefreshableVersion="3" recordCount="0" supportSubquery="1" supportAdvancedDrill="1" xr:uid="{CC71D13A-6865-4382-ADC5-9382E60EE6BA}">
  <cacheSource type="external" connectionId="3"/>
  <cacheFields count="4">
    <cacheField name="[Calender_Table].[Date (Month)].[Date (Month)]" caption="Date (Month)" numFmtId="0" hierarchy="1" level="1">
      <sharedItems containsSemiMixedTypes="0" containsNonDate="0" containsString="0"/>
    </cacheField>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1"/>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503963194446" createdVersion="5" refreshedVersion="8" minRefreshableVersion="3" recordCount="0" supportSubquery="1" supportAdvancedDrill="1" xr:uid="{062AE315-07BF-4736-B76C-8BF9D6087CC8}">
  <cacheSource type="external" connectionId="3"/>
  <cacheFields count="4">
    <cacheField name="[Calender_Table].[Date (Month)].[Date (Month)]" caption="Date (Month)" numFmtId="0" hierarchy="1" level="1">
      <sharedItems containsNonDate="0"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ntainsNonDate="0" count="1">
        <s v="Qtr1"/>
      </sharedItems>
    </cacheField>
    <cacheField name="[Calender_Table].[Date (Year)].[Date (Year)]" caption="Date (Year)" numFmtId="0" hierarchy="3" level="1">
      <sharedItems count="1">
        <s v="2024"/>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2"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X1 Yoga" refreshedDate="46135.491373263889" createdVersion="3" refreshedVersion="8" minRefreshableVersion="3" recordCount="0" supportSubquery="1" supportAdvancedDrill="1" xr:uid="{20270871-5463-4256-BD84-E9D8F9725A86}">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Hospital Emergency Room Data  1].[Patient Admission Time (Hour)]" caption="Patient Admission Time (Hour)" attribute="1" defaultMemberUniqueName="[Hospital Emergency Room Data  1].[Patient Admission Time (Hour)].[All]" allUniqueName="[Hospital Emergency Room Data  1].[Patient Admission Time (Hour)].[All]" dimensionUniqueName="[Hospital Emergency Room Data  1]" displayFolder="" count="0" memberValueDatatype="130" unbalanced="0"/>
    <cacheHierarchy uniqueName="[Hospital Emergency Room Data  1].[Patient Admission Time (Minute)]" caption="Patient Admission Time (Minute)" attribute="1" defaultMemberUniqueName="[Hospital Emergency Room Data  1].[Patient Admission Time (Minute)].[All]" allUniqueName="[Hospital Emergency Room Data  1].[Patient Admission Time (Minute)].[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00724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BF85E8-70A6-4C75-A17B-5312BA45C6D4}" name="PivotTable11" cacheId="1719" applyNumberFormats="0" applyBorderFormats="0" applyFontFormats="0" applyPatternFormats="0" applyAlignmentFormats="0" applyWidthHeightFormats="1" dataCaption="Values" tag="b7d42e87-61c3-4d5c-95a3-7d802c6fb3ee" updatedVersion="8" minRefreshableVersion="3" subtotalHiddenItems="1" itemPrintTitles="1" createdVersion="5" indent="0" outline="1" outlineData="1" multipleFieldFilters="0" chartFormat="17">
  <location ref="D60:D62"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258">
      <pivotArea grandRow="1" outline="0" collapsedLevelsAreSubtotals="1" fieldPosition="0"/>
    </format>
    <format dxfId="259">
      <pivotArea outline="0" collapsedLevelsAreSubtotals="1"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A4DD1-911B-49E2-B789-E2257C0390D9}" name="PivotTable10" cacheId="1716" applyNumberFormats="0" applyBorderFormats="0" applyFontFormats="0" applyPatternFormats="0" applyAlignmentFormats="0" applyWidthHeightFormats="1" dataCaption="Values" tag="b7d42e87-61c3-4d5c-95a3-7d802c6fb3ee" updatedVersion="8" minRefreshableVersion="3" subtotalHiddenItems="1" itemPrintTitles="1" createdVersion="5" indent="0" outline="1" outlineData="1" multipleFieldFilters="0" chartFormat="17">
  <location ref="H60:I6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308">
      <pivotArea grandRow="1" outline="0" collapsedLevelsAreSubtotals="1" fieldPosition="0"/>
    </format>
    <format dxfId="309">
      <pivotArea outline="0" collapsedLevelsAreSubtotals="1" fieldPosition="0"/>
    </format>
  </formats>
  <chartFormats count="2">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41856F-A732-490F-B65D-67FEA3088214}" name="PivotTable9" cacheId="1713" applyNumberFormats="0" applyBorderFormats="0" applyFontFormats="0" applyPatternFormats="0" applyAlignmentFormats="0" applyWidthHeightFormats="1" dataCaption="Values" tag="b7d42e87-61c3-4d5c-95a3-7d802c6fb3ee" updatedVersion="8" minRefreshableVersion="3" subtotalHiddenItems="1" itemPrintTitles="1" createdVersion="5" indent="0" outline="1" outlineData="1" multipleFieldFilters="0" chartFormat="12">
  <location ref="H54:I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310">
      <pivotArea grandRow="1" outline="0" collapsedLevelsAreSubtotals="1" fieldPosition="0"/>
    </format>
    <format dxfId="311">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BEB313-B535-46E0-ABAA-5A59FD2CA2B4}" name="PivotTable8" cacheId="1710" applyNumberFormats="0" applyBorderFormats="0" applyFontFormats="0" applyPatternFormats="0" applyAlignmentFormats="0" applyWidthHeightFormats="1" dataCaption="Values" tag="b7d42e87-61c3-4d5c-95a3-7d802c6fb3ee" updatedVersion="8" minRefreshableVersion="3" subtotalHiddenItems="1" itemPrintTitles="1" createdVersion="5" indent="0" outline="1" outlineData="1" multipleFieldFilters="0" chartFormat="9">
  <location ref="E54:F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2">
    <format dxfId="312">
      <pivotArea grandRow="1" outline="0" collapsedLevelsAreSubtotals="1" fieldPosition="0"/>
    </format>
    <format dxfId="313">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54079C-F95B-4296-80D9-6C56AB5824BE}" name="PivotTable5" cacheId="1707" applyNumberFormats="0" applyBorderFormats="0" applyFontFormats="0" applyPatternFormats="0" applyAlignmentFormats="0" applyWidthHeightFormats="1" dataCaption="Values" tag="b7d42e87-61c3-4d5c-95a3-7d802c6fb3ee" updatedVersion="8" minRefreshableVersion="3" subtotalHiddenItems="1" itemPrintTitles="1" createdVersion="5" indent="0" outline="1" outlineData="1" multipleFieldFilters="0" chartFormat="5">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2">
    <format dxfId="315">
      <pivotArea grandRow="1" outline="0" collapsedLevelsAreSubtotals="1" fieldPosition="0"/>
    </format>
    <format dxfId="31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F79CCF-EC6B-4C90-9E94-87652885D256}" name="PivotTable3" cacheId="1698" applyNumberFormats="0" applyBorderFormats="0" applyFontFormats="0" applyPatternFormats="0" applyAlignmentFormats="0" applyWidthHeightFormats="1" dataCaption="Values" tag="b7d42e87-61c3-4d5c-95a3-7d802c6fb3ee" updatedVersion="8" minRefreshableVersion="3" subtotalHiddenItems="1" itemPrintTitles="1" createdVersion="5" indent="0" outline="1" outlineData="1" multipleFieldFilters="0" chartFormat="1">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5">
    <format dxfId="318">
      <pivotArea outline="0" collapsedLevelsAreSubtotals="1" fieldPosition="0"/>
    </format>
    <format dxfId="319">
      <pivotArea collapsedLevelsAreSubtotals="1" fieldPosition="0">
        <references count="1">
          <reference field="1" count="1">
            <x v="0"/>
          </reference>
        </references>
      </pivotArea>
    </format>
    <format dxfId="320">
      <pivotArea collapsedLevelsAreSubtotals="1" fieldPosition="0">
        <references count="1">
          <reference field="1" count="1">
            <x v="1"/>
          </reference>
        </references>
      </pivotArea>
    </format>
    <format dxfId="321">
      <pivotArea grandRow="1" outline="0" collapsedLevelsAreSubtotals="1" fieldPosition="0"/>
    </format>
    <format dxfId="32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5D921A-6C9F-4875-B46A-EC19A0210FBA}" name="PivotTable4" cacheId="1689" applyNumberFormats="0" applyBorderFormats="0" applyFontFormats="0" applyPatternFormats="0" applyAlignmentFormats="0" applyWidthHeightFormats="1" dataCaption="Values" tag="d38166ab-8cef-4ce9-9a1b-1f2e3f35e3fd" updatedVersion="8" minRefreshableVersion="3" subtotalHiddenItems="1" itemPrintTitles="1" createdVersion="5" indent="0" outline="1" outlineData="1" multipleFieldFilters="0" chartFormat="18">
  <location ref="H5:I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4" format="16" series="1">
      <pivotArea type="data" outline="0" fieldPosition="0">
        <references count="1">
          <reference field="4294967294" count="1" selected="0">
            <x v="0"/>
          </reference>
        </references>
      </pivotArea>
    </chartFormat>
    <chartFormat chart="16" format="16"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0BC573-4171-40D8-9A55-FF7C3845E7A7}" name="PivotTable2" cacheId="1695" applyNumberFormats="0" applyBorderFormats="0" applyFontFormats="0" applyPatternFormats="0" applyAlignmentFormats="0" applyWidthHeightFormats="1" dataCaption="Values" tag="27de8eee-c5db-4803-a6d0-44c2d05ae519"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23">
      <pivotArea outline="0" collapsedLevelsAreSubtotals="1" fieldPosition="0"/>
    </format>
  </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CFD503-6B13-4276-9048-523DBF10043F}" name="PivotTable1" cacheId="1692" applyNumberFormats="0" applyBorderFormats="0" applyFontFormats="0" applyPatternFormats="0" applyAlignmentFormats="0" applyWidthHeightFormats="1" dataCaption="Values" tag="b0467b99-aff9-40d4-b3d0-29bbab342286"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889D95-B226-4C5E-80A8-C5016C7396C0}" name="PivotTable7" cacheId="1704" applyNumberFormats="0" applyBorderFormats="0" applyFontFormats="0" applyPatternFormats="0" applyAlignmentFormats="0" applyWidthHeightFormats="1" dataCaption="Values" tag="5a11ead4-ceac-4db3-bace-2e1057c6d0af" updatedVersion="8" minRefreshableVersion="3" subtotalHiddenItems="1" itemPrintTitles="1" createdVersion="5" indent="0" outline="1" outlineData="1" multipleFieldFilters="0" chartFormat="29">
  <location ref="N5:O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316">
      <pivotArea outline="0" collapsedLevelsAreSubtotals="1" fieldPosition="0"/>
    </format>
  </formats>
  <chartFormats count="4">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EA9529-1C7C-4919-81F6-EBF901876DDA}" name="PivotTable6" cacheId="1701" applyNumberFormats="0" applyBorderFormats="0" applyFontFormats="0" applyPatternFormats="0" applyAlignmentFormats="0" applyWidthHeightFormats="1" dataCaption="Values" tag="5a708e79-7d0b-46f7-a18b-9387972f9765" updatedVersion="8" minRefreshableVersion="3" subtotalHiddenItems="1" itemPrintTitles="1" createdVersion="5" indent="0" outline="1" outlineData="1" multipleFieldFilters="0" chartFormat="25">
  <location ref="K5:L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317">
      <pivotArea outline="0" collapsedLevelsAreSubtotals="1" fieldPosition="0"/>
    </format>
  </formats>
  <chartFormats count="3">
    <chartFormat chart="19"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2E00AC7-FA20-4CF9-A095-35833CC02008}" sourceName="[Calender_Table].[Date (Month)]">
  <pivotTables>
    <pivotTable tabId="1" name="PivotTable4"/>
    <pivotTable tabId="1" name="PivotTable1"/>
    <pivotTable tabId="1" name="PivotTable2"/>
    <pivotTable tabId="1" name="PivotTable3"/>
    <pivotTable tabId="1" name="PivotTable6"/>
    <pivotTable tabId="1" name="PivotTable7"/>
    <pivotTable tabId="1" name="PivotTable5"/>
    <pivotTable tabId="1" name="PivotTable8"/>
    <pivotTable tabId="1" name="PivotTable9"/>
    <pivotTable tabId="1" name="PivotTable10"/>
    <pivotTable tabId="1" name="PivotTable11"/>
  </pivotTables>
  <data>
    <olap pivotCacheId="8007246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72B7670-A550-4A83-B84D-A448ACFD7F0E}" sourceName="[Calender_Table].[Date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007246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D030052-6A40-4238-8329-F4DA0275AFE3}" cache="Slicer_Date__Month" caption="Date (Month)" showCaption="0" level="1" style="My style" rowHeight="108000"/>
  <slicer name="Date (Year)" xr10:uid="{2D8238BC-1E39-4D9F-A4A1-198FBE143E3F}" cache="Slicer_Date__Year" caption="Date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025F-1FA5-4387-981D-4CA6C9F099A2}">
  <dimension ref="A3:O69"/>
  <sheetViews>
    <sheetView topLeftCell="C56" workbookViewId="0">
      <selection activeCell="D61" sqref="D61"/>
    </sheetView>
  </sheetViews>
  <sheetFormatPr defaultRowHeight="14.5" x14ac:dyDescent="0.35"/>
  <cols>
    <col min="1" max="1" width="16.7265625" customWidth="1"/>
    <col min="2" max="3" width="11.54296875" customWidth="1"/>
    <col min="4" max="4" width="11.81640625" customWidth="1"/>
    <col min="7" max="7" width="13.54296875" customWidth="1"/>
    <col min="8" max="8" width="23.81640625" bestFit="1" customWidth="1"/>
    <col min="9" max="9" width="23.26953125" customWidth="1"/>
    <col min="11" max="11" width="15.6328125" customWidth="1"/>
    <col min="12" max="12" width="23.453125" customWidth="1"/>
    <col min="14" max="14" width="13.6328125" customWidth="1"/>
    <col min="15" max="15" width="25.90625" customWidth="1"/>
  </cols>
  <sheetData>
    <row r="3" spans="1:15" x14ac:dyDescent="0.35">
      <c r="A3" t="s">
        <v>1</v>
      </c>
    </row>
    <row r="4" spans="1:15" x14ac:dyDescent="0.35">
      <c r="A4" t="s">
        <v>0</v>
      </c>
      <c r="H4" t="s">
        <v>37</v>
      </c>
      <c r="K4" t="s">
        <v>38</v>
      </c>
      <c r="N4" t="s">
        <v>39</v>
      </c>
    </row>
    <row r="5" spans="1:15" x14ac:dyDescent="0.35">
      <c r="A5" s="7">
        <v>513</v>
      </c>
      <c r="H5" s="1" t="s">
        <v>4</v>
      </c>
      <c r="I5" t="s">
        <v>0</v>
      </c>
      <c r="K5" s="1" t="s">
        <v>4</v>
      </c>
      <c r="L5" t="s">
        <v>2</v>
      </c>
      <c r="N5" s="1" t="s">
        <v>4</v>
      </c>
      <c r="O5" t="s">
        <v>3</v>
      </c>
    </row>
    <row r="6" spans="1:15" x14ac:dyDescent="0.35">
      <c r="H6" s="4" t="s">
        <v>6</v>
      </c>
      <c r="I6" s="7">
        <v>19</v>
      </c>
      <c r="K6" s="4" t="s">
        <v>6</v>
      </c>
      <c r="L6" s="2">
        <v>37.789473684210527</v>
      </c>
      <c r="N6" s="4" t="s">
        <v>6</v>
      </c>
      <c r="O6" s="2">
        <v>6.666666666666667</v>
      </c>
    </row>
    <row r="7" spans="1:15" x14ac:dyDescent="0.35">
      <c r="H7" s="4" t="s">
        <v>7</v>
      </c>
      <c r="I7" s="7">
        <v>14</v>
      </c>
      <c r="K7" s="4" t="s">
        <v>7</v>
      </c>
      <c r="L7" s="2">
        <v>38.214285714285715</v>
      </c>
      <c r="N7" s="4" t="s">
        <v>7</v>
      </c>
      <c r="O7" s="2">
        <v>3.5</v>
      </c>
    </row>
    <row r="8" spans="1:15" x14ac:dyDescent="0.35">
      <c r="A8" t="s">
        <v>2</v>
      </c>
      <c r="H8" s="4" t="s">
        <v>8</v>
      </c>
      <c r="I8" s="7">
        <v>13</v>
      </c>
      <c r="K8" s="4" t="s">
        <v>8</v>
      </c>
      <c r="L8" s="2">
        <v>40.92307692307692</v>
      </c>
      <c r="N8" s="4" t="s">
        <v>8</v>
      </c>
      <c r="O8" s="2">
        <v>4.5</v>
      </c>
    </row>
    <row r="9" spans="1:15" x14ac:dyDescent="0.35">
      <c r="A9" s="2">
        <v>36.323586744639378</v>
      </c>
      <c r="H9" s="4" t="s">
        <v>9</v>
      </c>
      <c r="I9" s="7">
        <v>22</v>
      </c>
      <c r="K9" s="4" t="s">
        <v>9</v>
      </c>
      <c r="L9" s="2">
        <v>34.5</v>
      </c>
      <c r="N9" s="4" t="s">
        <v>9</v>
      </c>
      <c r="O9" s="2">
        <v>4.8</v>
      </c>
    </row>
    <row r="10" spans="1:15" x14ac:dyDescent="0.35">
      <c r="H10" s="4" t="s">
        <v>10</v>
      </c>
      <c r="I10" s="7">
        <v>19</v>
      </c>
      <c r="K10" s="4" t="s">
        <v>10</v>
      </c>
      <c r="L10" s="2">
        <v>30.684210526315791</v>
      </c>
      <c r="N10" s="4" t="s">
        <v>10</v>
      </c>
      <c r="O10" s="2">
        <v>7.75</v>
      </c>
    </row>
    <row r="11" spans="1:15" x14ac:dyDescent="0.35">
      <c r="H11" s="4" t="s">
        <v>11</v>
      </c>
      <c r="I11" s="7">
        <v>15</v>
      </c>
      <c r="K11" s="4" t="s">
        <v>11</v>
      </c>
      <c r="L11" s="2">
        <v>37.666666666666664</v>
      </c>
      <c r="N11" s="4" t="s">
        <v>11</v>
      </c>
      <c r="O11" s="2">
        <v>6.2</v>
      </c>
    </row>
    <row r="12" spans="1:15" x14ac:dyDescent="0.35">
      <c r="H12" s="4" t="s">
        <v>12</v>
      </c>
      <c r="I12" s="7">
        <v>12</v>
      </c>
      <c r="K12" s="4" t="s">
        <v>12</v>
      </c>
      <c r="L12" s="2">
        <v>36.083333333333336</v>
      </c>
      <c r="N12" s="4" t="s">
        <v>12</v>
      </c>
      <c r="O12" s="2">
        <v>3.75</v>
      </c>
    </row>
    <row r="13" spans="1:15" x14ac:dyDescent="0.35">
      <c r="H13" s="4" t="s">
        <v>13</v>
      </c>
      <c r="I13" s="7">
        <v>21</v>
      </c>
      <c r="K13" s="4" t="s">
        <v>13</v>
      </c>
      <c r="L13" s="2">
        <v>43.523809523809526</v>
      </c>
      <c r="N13" s="4" t="s">
        <v>13</v>
      </c>
      <c r="O13" s="2">
        <v>6.5</v>
      </c>
    </row>
    <row r="14" spans="1:15" x14ac:dyDescent="0.35">
      <c r="H14" s="4" t="s">
        <v>14</v>
      </c>
      <c r="I14" s="7">
        <v>12</v>
      </c>
      <c r="K14" s="4" t="s">
        <v>14</v>
      </c>
      <c r="L14" s="2">
        <v>29.5</v>
      </c>
      <c r="N14" s="4" t="s">
        <v>14</v>
      </c>
      <c r="O14" s="2">
        <v>3</v>
      </c>
    </row>
    <row r="15" spans="1:15" x14ac:dyDescent="0.35">
      <c r="H15" s="4" t="s">
        <v>15</v>
      </c>
      <c r="I15" s="7">
        <v>13</v>
      </c>
      <c r="K15" s="4" t="s">
        <v>15</v>
      </c>
      <c r="L15" s="2">
        <v>38.07692307692308</v>
      </c>
      <c r="N15" s="4" t="s">
        <v>15</v>
      </c>
      <c r="O15" s="2">
        <v>4.5</v>
      </c>
    </row>
    <row r="16" spans="1:15" x14ac:dyDescent="0.35">
      <c r="H16" s="4" t="s">
        <v>16</v>
      </c>
      <c r="I16" s="7">
        <v>13</v>
      </c>
      <c r="K16" s="4" t="s">
        <v>16</v>
      </c>
      <c r="L16" s="2">
        <v>35.846153846153847</v>
      </c>
      <c r="N16" s="4" t="s">
        <v>16</v>
      </c>
      <c r="O16" s="2">
        <v>6</v>
      </c>
    </row>
    <row r="17" spans="8:15" x14ac:dyDescent="0.35">
      <c r="H17" s="4" t="s">
        <v>17</v>
      </c>
      <c r="I17" s="7">
        <v>16</v>
      </c>
      <c r="K17" s="4" t="s">
        <v>17</v>
      </c>
      <c r="L17" s="2">
        <v>32.625</v>
      </c>
      <c r="N17" s="4" t="s">
        <v>17</v>
      </c>
      <c r="O17" s="2">
        <v>5.2</v>
      </c>
    </row>
    <row r="18" spans="8:15" x14ac:dyDescent="0.35">
      <c r="H18" s="4" t="s">
        <v>18</v>
      </c>
      <c r="I18" s="7">
        <v>20</v>
      </c>
      <c r="K18" s="4" t="s">
        <v>18</v>
      </c>
      <c r="L18" s="2">
        <v>39.200000000000003</v>
      </c>
      <c r="N18" s="4" t="s">
        <v>18</v>
      </c>
      <c r="O18" s="2">
        <v>4.4000000000000004</v>
      </c>
    </row>
    <row r="19" spans="8:15" x14ac:dyDescent="0.35">
      <c r="H19" s="4" t="s">
        <v>19</v>
      </c>
      <c r="I19" s="7">
        <v>25</v>
      </c>
      <c r="K19" s="4" t="s">
        <v>19</v>
      </c>
      <c r="L19" s="2">
        <v>35.28</v>
      </c>
      <c r="N19" s="4" t="s">
        <v>19</v>
      </c>
      <c r="O19" s="2">
        <v>3.4545454545454546</v>
      </c>
    </row>
    <row r="20" spans="8:15" x14ac:dyDescent="0.35">
      <c r="H20" s="4" t="s">
        <v>20</v>
      </c>
      <c r="I20" s="7">
        <v>20</v>
      </c>
      <c r="K20" s="4" t="s">
        <v>20</v>
      </c>
      <c r="L20" s="2">
        <v>32.549999999999997</v>
      </c>
      <c r="N20" s="4" t="s">
        <v>20</v>
      </c>
      <c r="O20" s="2">
        <v>4.4000000000000004</v>
      </c>
    </row>
    <row r="21" spans="8:15" x14ac:dyDescent="0.35">
      <c r="H21" s="4" t="s">
        <v>21</v>
      </c>
      <c r="I21" s="7">
        <v>14</v>
      </c>
      <c r="K21" s="4" t="s">
        <v>21</v>
      </c>
      <c r="L21" s="2">
        <v>35.642857142857146</v>
      </c>
      <c r="N21" s="4" t="s">
        <v>21</v>
      </c>
      <c r="O21" s="2">
        <v>5.833333333333333</v>
      </c>
    </row>
    <row r="22" spans="8:15" x14ac:dyDescent="0.35">
      <c r="H22" s="4" t="s">
        <v>22</v>
      </c>
      <c r="I22" s="7">
        <v>17</v>
      </c>
      <c r="K22" s="4" t="s">
        <v>22</v>
      </c>
      <c r="L22" s="2">
        <v>38.764705882352942</v>
      </c>
      <c r="N22" s="4" t="s">
        <v>22</v>
      </c>
      <c r="O22" s="2">
        <v>4.4444444444444446</v>
      </c>
    </row>
    <row r="23" spans="8:15" x14ac:dyDescent="0.35">
      <c r="H23" s="4" t="s">
        <v>23</v>
      </c>
      <c r="I23" s="7">
        <v>20</v>
      </c>
      <c r="K23" s="4" t="s">
        <v>23</v>
      </c>
      <c r="L23" s="2">
        <v>39.9</v>
      </c>
      <c r="N23" s="4" t="s">
        <v>23</v>
      </c>
      <c r="O23" s="2">
        <v>5.333333333333333</v>
      </c>
    </row>
    <row r="24" spans="8:15" x14ac:dyDescent="0.35">
      <c r="H24" s="4" t="s">
        <v>24</v>
      </c>
      <c r="I24" s="7">
        <v>10</v>
      </c>
      <c r="K24" s="4" t="s">
        <v>24</v>
      </c>
      <c r="L24" s="2">
        <v>41.6</v>
      </c>
      <c r="N24" s="4" t="s">
        <v>24</v>
      </c>
      <c r="O24" s="2">
        <v>5.333333333333333</v>
      </c>
    </row>
    <row r="25" spans="8:15" x14ac:dyDescent="0.35">
      <c r="H25" s="4" t="s">
        <v>25</v>
      </c>
      <c r="I25" s="7">
        <v>17</v>
      </c>
      <c r="K25" s="4" t="s">
        <v>25</v>
      </c>
      <c r="L25" s="2">
        <v>39.470588235294116</v>
      </c>
      <c r="N25" s="4" t="s">
        <v>25</v>
      </c>
      <c r="O25" s="2">
        <v>5.5714285714285712</v>
      </c>
    </row>
    <row r="26" spans="8:15" x14ac:dyDescent="0.35">
      <c r="H26" s="4" t="s">
        <v>26</v>
      </c>
      <c r="I26" s="7">
        <v>15</v>
      </c>
      <c r="K26" s="4" t="s">
        <v>26</v>
      </c>
      <c r="L26" s="2">
        <v>27.733333333333334</v>
      </c>
      <c r="N26" s="4" t="s">
        <v>26</v>
      </c>
      <c r="O26" s="2">
        <v>5</v>
      </c>
    </row>
    <row r="27" spans="8:15" x14ac:dyDescent="0.35">
      <c r="H27" s="4" t="s">
        <v>27</v>
      </c>
      <c r="I27" s="7">
        <v>16</v>
      </c>
      <c r="K27" s="4" t="s">
        <v>27</v>
      </c>
      <c r="L27" s="2">
        <v>36.875</v>
      </c>
      <c r="N27" s="4" t="s">
        <v>27</v>
      </c>
      <c r="O27" s="2">
        <v>6.4</v>
      </c>
    </row>
    <row r="28" spans="8:15" x14ac:dyDescent="0.35">
      <c r="H28" s="4" t="s">
        <v>28</v>
      </c>
      <c r="I28" s="7">
        <v>18</v>
      </c>
      <c r="K28" s="4" t="s">
        <v>28</v>
      </c>
      <c r="L28" s="2">
        <v>40.333333333333336</v>
      </c>
      <c r="N28" s="4" t="s">
        <v>28</v>
      </c>
      <c r="O28" s="2">
        <v>5.333333333333333</v>
      </c>
    </row>
    <row r="29" spans="8:15" x14ac:dyDescent="0.35">
      <c r="H29" s="4" t="s">
        <v>29</v>
      </c>
      <c r="I29" s="7">
        <v>16</v>
      </c>
      <c r="K29" s="4" t="s">
        <v>29</v>
      </c>
      <c r="L29" s="2">
        <v>36.5</v>
      </c>
      <c r="N29" s="4" t="s">
        <v>29</v>
      </c>
      <c r="O29" s="2">
        <v>3.75</v>
      </c>
    </row>
    <row r="30" spans="8:15" x14ac:dyDescent="0.35">
      <c r="H30" s="4" t="s">
        <v>30</v>
      </c>
      <c r="I30" s="7">
        <v>15</v>
      </c>
      <c r="K30" s="4" t="s">
        <v>30</v>
      </c>
      <c r="L30" s="2">
        <v>32.866666666666667</v>
      </c>
      <c r="N30" s="4" t="s">
        <v>30</v>
      </c>
      <c r="O30" s="2">
        <v>6.333333333333333</v>
      </c>
    </row>
    <row r="31" spans="8:15" x14ac:dyDescent="0.35">
      <c r="H31" s="4" t="s">
        <v>31</v>
      </c>
      <c r="I31" s="7">
        <v>14</v>
      </c>
      <c r="K31" s="4" t="s">
        <v>31</v>
      </c>
      <c r="L31" s="2">
        <v>36.642857142857146</v>
      </c>
      <c r="N31" s="4" t="s">
        <v>31</v>
      </c>
      <c r="O31" s="2">
        <v>10</v>
      </c>
    </row>
    <row r="32" spans="8:15" x14ac:dyDescent="0.35">
      <c r="H32" s="4" t="s">
        <v>32</v>
      </c>
      <c r="I32" s="7">
        <v>16</v>
      </c>
      <c r="K32" s="4" t="s">
        <v>32</v>
      </c>
      <c r="L32" s="2">
        <v>36.5625</v>
      </c>
      <c r="N32" s="4" t="s">
        <v>32</v>
      </c>
      <c r="O32" s="2">
        <v>5</v>
      </c>
    </row>
    <row r="33" spans="1:15" x14ac:dyDescent="0.35">
      <c r="H33" s="4" t="s">
        <v>33</v>
      </c>
      <c r="I33" s="7">
        <v>20</v>
      </c>
      <c r="K33" s="4" t="s">
        <v>33</v>
      </c>
      <c r="L33" s="2">
        <v>32.15</v>
      </c>
      <c r="N33" s="4" t="s">
        <v>33</v>
      </c>
      <c r="O33" s="2">
        <v>5.333333333333333</v>
      </c>
    </row>
    <row r="34" spans="1:15" x14ac:dyDescent="0.35">
      <c r="H34" s="4" t="s">
        <v>34</v>
      </c>
      <c r="I34" s="7">
        <v>19</v>
      </c>
      <c r="K34" s="4" t="s">
        <v>34</v>
      </c>
      <c r="L34" s="2">
        <v>38.368421052631582</v>
      </c>
      <c r="N34" s="4" t="s">
        <v>34</v>
      </c>
      <c r="O34" s="2">
        <v>4.8</v>
      </c>
    </row>
    <row r="35" spans="1:15" x14ac:dyDescent="0.35">
      <c r="H35" s="4" t="s">
        <v>35</v>
      </c>
      <c r="I35" s="7">
        <v>14</v>
      </c>
      <c r="K35" s="4" t="s">
        <v>35</v>
      </c>
      <c r="L35" s="2">
        <v>33.071428571428569</v>
      </c>
      <c r="N35" s="4" t="s">
        <v>35</v>
      </c>
      <c r="O35" s="2">
        <v>5</v>
      </c>
    </row>
    <row r="36" spans="1:15" x14ac:dyDescent="0.35">
      <c r="H36" s="4" t="s">
        <v>36</v>
      </c>
      <c r="I36" s="7">
        <v>18</v>
      </c>
      <c r="K36" s="4" t="s">
        <v>36</v>
      </c>
      <c r="L36" s="2">
        <v>36.444444444444443</v>
      </c>
      <c r="N36" s="4" t="s">
        <v>36</v>
      </c>
      <c r="O36" s="2">
        <v>1.4</v>
      </c>
    </row>
    <row r="37" spans="1:15" x14ac:dyDescent="0.35">
      <c r="H37" s="4" t="s">
        <v>5</v>
      </c>
      <c r="I37" s="7">
        <v>513</v>
      </c>
      <c r="K37" s="4" t="s">
        <v>5</v>
      </c>
      <c r="L37" s="2">
        <v>36.323586744639378</v>
      </c>
      <c r="N37" s="4" t="s">
        <v>5</v>
      </c>
      <c r="O37" s="2">
        <v>4.9591836734693882</v>
      </c>
    </row>
    <row r="39" spans="1:15" x14ac:dyDescent="0.35">
      <c r="A39" s="1" t="s">
        <v>4</v>
      </c>
      <c r="B39" t="s">
        <v>42</v>
      </c>
      <c r="C39" t="s">
        <v>43</v>
      </c>
    </row>
    <row r="40" spans="1:15" x14ac:dyDescent="0.35">
      <c r="A40" s="4" t="s">
        <v>40</v>
      </c>
      <c r="B40" s="8">
        <v>269</v>
      </c>
      <c r="C40" s="9">
        <v>0.52436647173489281</v>
      </c>
    </row>
    <row r="41" spans="1:15" x14ac:dyDescent="0.35">
      <c r="A41" s="4" t="s">
        <v>41</v>
      </c>
      <c r="B41" s="8">
        <v>244</v>
      </c>
      <c r="C41" s="9">
        <v>0.47563352826510719</v>
      </c>
    </row>
    <row r="42" spans="1:15" x14ac:dyDescent="0.35">
      <c r="A42" s="4" t="s">
        <v>5</v>
      </c>
      <c r="B42" s="2">
        <v>513</v>
      </c>
      <c r="C42" s="9">
        <v>1</v>
      </c>
    </row>
    <row r="48" spans="1:15" ht="19" customHeight="1" x14ac:dyDescent="0.35"/>
    <row r="49" spans="1:9" s="14" customFormat="1" x14ac:dyDescent="0.35">
      <c r="A49" s="11" t="s">
        <v>44</v>
      </c>
      <c r="B49" s="11" t="s">
        <v>45</v>
      </c>
      <c r="C49" s="11" t="s">
        <v>46</v>
      </c>
      <c r="D49" s="11"/>
    </row>
    <row r="50" spans="1:9" s="14" customFormat="1" x14ac:dyDescent="0.35">
      <c r="A50" s="12" t="str">
        <f>A41</f>
        <v>Not Admitted</v>
      </c>
      <c r="B50" s="12">
        <f>B41</f>
        <v>244</v>
      </c>
      <c r="C50" s="13">
        <f>C41</f>
        <v>0.47563352826510719</v>
      </c>
      <c r="D50" s="12"/>
    </row>
    <row r="51" spans="1:9" s="14" customFormat="1" ht="10.5" customHeight="1" x14ac:dyDescent="0.35">
      <c r="A51" s="12" t="str">
        <f>A40</f>
        <v>Admitted</v>
      </c>
      <c r="B51" s="12">
        <f>B40</f>
        <v>269</v>
      </c>
      <c r="C51" s="13">
        <f>C40</f>
        <v>0.52436647173489281</v>
      </c>
      <c r="D51" s="12"/>
    </row>
    <row r="53" spans="1:9" x14ac:dyDescent="0.35">
      <c r="A53" t="s">
        <v>56</v>
      </c>
      <c r="E53" t="s">
        <v>60</v>
      </c>
      <c r="H53" t="s">
        <v>64</v>
      </c>
    </row>
    <row r="54" spans="1:9" x14ac:dyDescent="0.35">
      <c r="A54" s="1" t="s">
        <v>4</v>
      </c>
      <c r="B54" t="s">
        <v>55</v>
      </c>
      <c r="E54" s="1" t="s">
        <v>4</v>
      </c>
      <c r="F54" t="s">
        <v>57</v>
      </c>
      <c r="H54" s="1" t="s">
        <v>4</v>
      </c>
      <c r="I54" t="s">
        <v>63</v>
      </c>
    </row>
    <row r="55" spans="1:9" x14ac:dyDescent="0.35">
      <c r="A55" s="4" t="s">
        <v>47</v>
      </c>
      <c r="B55" s="8">
        <v>76</v>
      </c>
      <c r="E55" s="4" t="s">
        <v>58</v>
      </c>
      <c r="F55" s="8">
        <v>316</v>
      </c>
      <c r="H55" s="4" t="s">
        <v>61</v>
      </c>
      <c r="I55" s="8">
        <v>241</v>
      </c>
    </row>
    <row r="56" spans="1:9" x14ac:dyDescent="0.35">
      <c r="A56" s="4" t="s">
        <v>48</v>
      </c>
      <c r="B56" s="8">
        <v>69</v>
      </c>
      <c r="E56" s="4" t="s">
        <v>59</v>
      </c>
      <c r="F56" s="8">
        <v>197</v>
      </c>
      <c r="H56" s="4" t="s">
        <v>62</v>
      </c>
      <c r="I56" s="8">
        <v>272</v>
      </c>
    </row>
    <row r="57" spans="1:9" x14ac:dyDescent="0.35">
      <c r="A57" s="4" t="s">
        <v>49</v>
      </c>
      <c r="B57" s="8">
        <v>64</v>
      </c>
      <c r="E57" s="4" t="s">
        <v>5</v>
      </c>
      <c r="F57" s="8">
        <v>513</v>
      </c>
      <c r="H57" s="4" t="s">
        <v>5</v>
      </c>
      <c r="I57" s="8">
        <v>513</v>
      </c>
    </row>
    <row r="58" spans="1:9" x14ac:dyDescent="0.35">
      <c r="A58" s="4" t="s">
        <v>50</v>
      </c>
      <c r="B58" s="8">
        <v>59</v>
      </c>
    </row>
    <row r="59" spans="1:9" x14ac:dyDescent="0.35">
      <c r="A59" s="4" t="s">
        <v>51</v>
      </c>
      <c r="B59" s="8">
        <v>58</v>
      </c>
      <c r="H59" s="4" t="s">
        <v>74</v>
      </c>
    </row>
    <row r="60" spans="1:9" x14ac:dyDescent="0.35">
      <c r="A60" s="4" t="s">
        <v>52</v>
      </c>
      <c r="B60" s="8">
        <v>66</v>
      </c>
      <c r="D60" s="1" t="s">
        <v>4</v>
      </c>
      <c r="H60" s="1" t="s">
        <v>4</v>
      </c>
      <c r="I60" t="s">
        <v>73</v>
      </c>
    </row>
    <row r="61" spans="1:9" x14ac:dyDescent="0.35">
      <c r="A61" s="4" t="s">
        <v>53</v>
      </c>
      <c r="B61" s="8">
        <v>67</v>
      </c>
      <c r="D61" s="4" t="s">
        <v>75</v>
      </c>
      <c r="H61" s="4" t="s">
        <v>66</v>
      </c>
      <c r="I61" s="8">
        <v>4</v>
      </c>
    </row>
    <row r="62" spans="1:9" x14ac:dyDescent="0.35">
      <c r="A62" s="4" t="s">
        <v>54</v>
      </c>
      <c r="B62" s="8">
        <v>54</v>
      </c>
      <c r="D62" s="4" t="s">
        <v>5</v>
      </c>
      <c r="H62" s="4" t="s">
        <v>72</v>
      </c>
      <c r="I62" s="8">
        <v>5</v>
      </c>
    </row>
    <row r="63" spans="1:9" x14ac:dyDescent="0.35">
      <c r="A63" s="4" t="s">
        <v>5</v>
      </c>
      <c r="B63" s="8">
        <v>513</v>
      </c>
      <c r="H63" s="4" t="s">
        <v>68</v>
      </c>
      <c r="I63" s="8">
        <v>9</v>
      </c>
    </row>
    <row r="64" spans="1:9" x14ac:dyDescent="0.35">
      <c r="H64" s="4" t="s">
        <v>71</v>
      </c>
      <c r="I64" s="8">
        <v>14</v>
      </c>
    </row>
    <row r="65" spans="8:9" x14ac:dyDescent="0.35">
      <c r="H65" s="4" t="s">
        <v>65</v>
      </c>
      <c r="I65" s="8">
        <v>14</v>
      </c>
    </row>
    <row r="66" spans="8:9" x14ac:dyDescent="0.35">
      <c r="H66" s="4" t="s">
        <v>70</v>
      </c>
      <c r="I66" s="8">
        <v>65</v>
      </c>
    </row>
    <row r="67" spans="8:9" x14ac:dyDescent="0.35">
      <c r="H67" s="4" t="s">
        <v>67</v>
      </c>
      <c r="I67" s="8">
        <v>103</v>
      </c>
    </row>
    <row r="68" spans="8:9" x14ac:dyDescent="0.35">
      <c r="H68" s="4" t="s">
        <v>69</v>
      </c>
      <c r="I68" s="8">
        <v>299</v>
      </c>
    </row>
    <row r="69" spans="8:9" x14ac:dyDescent="0.35">
      <c r="H69" s="4" t="s">
        <v>5</v>
      </c>
      <c r="I69" s="8">
        <v>513</v>
      </c>
    </row>
  </sheetData>
  <pageMargins left="0.7" right="0.7" top="0.75" bottom="0.75" header="0.3" footer="0.3"/>
  <pageSetup paperSize="9" orientation="portrait" horizontalDpi="4294967293" verticalDpi="4294967293" r:id="rId12"/>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56E94-DE1B-4E42-B12D-4A78040F7AA2}">
  <dimension ref="A1:N19"/>
  <sheetViews>
    <sheetView tabSelected="1" zoomScaleNormal="100" workbookViewId="0">
      <selection activeCell="M6" sqref="M6"/>
    </sheetView>
  </sheetViews>
  <sheetFormatPr defaultRowHeight="14.5" x14ac:dyDescent="0.35"/>
  <sheetData>
    <row r="1" spans="1:14" x14ac:dyDescent="0.35">
      <c r="A1" s="3"/>
      <c r="B1" s="3"/>
      <c r="C1" s="3"/>
      <c r="D1" s="3"/>
      <c r="E1" s="3"/>
      <c r="F1" s="3"/>
      <c r="G1" s="3"/>
      <c r="H1" s="3"/>
      <c r="I1" s="3"/>
      <c r="J1" s="3"/>
      <c r="K1" s="3"/>
      <c r="L1" s="3"/>
      <c r="M1" s="3"/>
      <c r="N1" s="3"/>
    </row>
    <row r="2" spans="1:14" x14ac:dyDescent="0.35">
      <c r="A2" s="3"/>
      <c r="B2" s="3"/>
      <c r="C2" s="3"/>
      <c r="D2" s="3"/>
      <c r="E2" s="3"/>
      <c r="F2" s="3"/>
      <c r="G2" s="3"/>
      <c r="H2" s="3"/>
      <c r="I2" s="3"/>
      <c r="J2" s="3"/>
      <c r="K2" s="3"/>
      <c r="L2" s="3"/>
      <c r="M2" s="3"/>
      <c r="N2" s="3"/>
    </row>
    <row r="3" spans="1:14" x14ac:dyDescent="0.35">
      <c r="A3" s="3"/>
      <c r="B3" s="3"/>
      <c r="C3" s="3"/>
      <c r="D3" s="3"/>
      <c r="E3" s="3"/>
      <c r="F3" s="3"/>
      <c r="G3" s="3"/>
      <c r="H3" s="3"/>
      <c r="I3" s="3"/>
      <c r="J3" s="3"/>
      <c r="K3" s="3"/>
      <c r="L3" s="3"/>
      <c r="M3" s="3"/>
      <c r="N3" s="3"/>
    </row>
    <row r="4" spans="1:14" x14ac:dyDescent="0.35">
      <c r="A4" s="3"/>
      <c r="B4" s="3"/>
      <c r="C4" s="3"/>
      <c r="D4" s="3"/>
      <c r="E4" s="3"/>
      <c r="F4" s="3"/>
      <c r="G4" s="3"/>
      <c r="H4" s="3"/>
      <c r="I4" s="3"/>
      <c r="J4" s="3"/>
      <c r="K4" s="3"/>
      <c r="L4" s="3"/>
      <c r="M4" s="3"/>
      <c r="N4" s="3"/>
    </row>
    <row r="5" spans="1:14" x14ac:dyDescent="0.35">
      <c r="A5" s="3"/>
      <c r="B5" s="3"/>
      <c r="C5" s="3"/>
      <c r="D5" s="3"/>
      <c r="E5" s="3"/>
      <c r="F5" s="3"/>
      <c r="G5" s="3"/>
      <c r="H5" s="3"/>
      <c r="I5" s="3"/>
      <c r="J5" s="3"/>
      <c r="K5" s="3"/>
      <c r="L5" s="3"/>
      <c r="M5" s="3"/>
      <c r="N5" s="3"/>
    </row>
    <row r="6" spans="1:14" x14ac:dyDescent="0.35">
      <c r="A6" s="3"/>
      <c r="B6" s="3"/>
      <c r="C6" s="3"/>
      <c r="D6" s="3"/>
      <c r="E6" s="3"/>
      <c r="F6" s="3"/>
      <c r="G6" s="3"/>
      <c r="H6" s="3"/>
      <c r="I6" s="3"/>
      <c r="J6" s="3"/>
      <c r="K6" s="3"/>
      <c r="L6" s="3"/>
      <c r="M6" s="3"/>
      <c r="N6" s="3"/>
    </row>
    <row r="7" spans="1:14" x14ac:dyDescent="0.35">
      <c r="A7" s="3"/>
      <c r="B7" s="3"/>
      <c r="C7" s="3"/>
      <c r="D7" s="3"/>
      <c r="E7" s="3"/>
      <c r="F7" s="3"/>
      <c r="G7" s="3"/>
      <c r="H7" s="3"/>
      <c r="I7" s="3"/>
      <c r="J7" s="3"/>
      <c r="K7" s="3"/>
      <c r="L7" s="3"/>
      <c r="M7" s="3"/>
      <c r="N7" s="3"/>
    </row>
    <row r="8" spans="1:14" x14ac:dyDescent="0.35">
      <c r="A8" s="3"/>
      <c r="B8" s="3"/>
      <c r="C8" s="3"/>
      <c r="D8" s="3"/>
      <c r="E8" s="3"/>
      <c r="F8" s="3"/>
      <c r="G8" s="3"/>
      <c r="H8" s="3"/>
      <c r="I8" s="3"/>
      <c r="J8" s="3"/>
      <c r="K8" s="3"/>
      <c r="L8" s="3"/>
      <c r="M8" s="3"/>
      <c r="N8" s="3"/>
    </row>
    <row r="9" spans="1:14" x14ac:dyDescent="0.35">
      <c r="A9" s="3"/>
      <c r="B9" s="3"/>
      <c r="C9" s="3"/>
      <c r="D9" s="3"/>
      <c r="E9" s="3"/>
      <c r="F9" s="3"/>
      <c r="G9" s="3"/>
      <c r="H9" s="3"/>
      <c r="I9" s="3"/>
      <c r="J9" s="3"/>
      <c r="K9" s="3"/>
      <c r="L9" s="3"/>
      <c r="M9" s="3"/>
      <c r="N9" s="3"/>
    </row>
    <row r="10" spans="1:14" x14ac:dyDescent="0.35">
      <c r="A10" s="3"/>
      <c r="B10" s="3"/>
      <c r="C10" s="3"/>
      <c r="D10" s="3"/>
      <c r="E10" s="3"/>
      <c r="F10" s="3"/>
      <c r="G10" s="3"/>
      <c r="H10" s="3"/>
      <c r="I10" s="3"/>
      <c r="J10" s="3"/>
      <c r="K10" s="3"/>
      <c r="L10" s="3"/>
      <c r="M10" s="3"/>
      <c r="N10" s="3"/>
    </row>
    <row r="11" spans="1:14" x14ac:dyDescent="0.35">
      <c r="A11" s="3"/>
      <c r="B11" s="3"/>
      <c r="C11" s="3"/>
      <c r="D11" s="3"/>
      <c r="E11" s="3"/>
      <c r="F11" s="3"/>
      <c r="G11" s="3"/>
      <c r="H11" s="3"/>
      <c r="I11" s="3"/>
      <c r="J11" s="3"/>
      <c r="K11" s="3"/>
      <c r="L11" s="3"/>
      <c r="M11" s="3"/>
      <c r="N11" s="3"/>
    </row>
    <row r="12" spans="1:14" x14ac:dyDescent="0.35">
      <c r="A12" s="3"/>
      <c r="B12" s="3"/>
      <c r="C12" s="3"/>
      <c r="D12" s="3"/>
      <c r="E12" s="3"/>
      <c r="F12" s="3"/>
      <c r="G12" s="3"/>
      <c r="H12" s="3"/>
      <c r="I12" s="3"/>
      <c r="J12" s="3"/>
      <c r="K12" s="3"/>
      <c r="L12" s="3"/>
      <c r="M12" s="3"/>
      <c r="N12" s="3"/>
    </row>
    <row r="13" spans="1:14" x14ac:dyDescent="0.35">
      <c r="A13" s="3"/>
      <c r="B13" s="3"/>
      <c r="C13" s="3"/>
      <c r="D13" s="3"/>
      <c r="E13" s="3"/>
      <c r="F13" s="3"/>
      <c r="G13" s="3"/>
      <c r="H13" s="3"/>
      <c r="I13" s="3"/>
      <c r="J13" s="3"/>
      <c r="K13" s="3"/>
      <c r="L13" s="3"/>
      <c r="M13" s="3"/>
      <c r="N13" s="3"/>
    </row>
    <row r="14" spans="1:14" x14ac:dyDescent="0.35">
      <c r="A14" s="3"/>
      <c r="B14" s="3"/>
      <c r="C14" s="3"/>
      <c r="D14" s="3"/>
      <c r="E14" s="3"/>
      <c r="F14" s="3"/>
      <c r="G14" s="3"/>
      <c r="H14" s="3"/>
      <c r="I14" s="3"/>
      <c r="J14" s="3"/>
      <c r="K14" s="3"/>
      <c r="L14" s="3"/>
      <c r="M14" s="3"/>
      <c r="N14" s="3"/>
    </row>
    <row r="15" spans="1:14" x14ac:dyDescent="0.35">
      <c r="A15" s="3"/>
      <c r="B15" s="3"/>
      <c r="C15" s="3"/>
      <c r="D15" s="3"/>
      <c r="E15" s="3"/>
      <c r="F15" s="3"/>
      <c r="G15" s="3"/>
      <c r="H15" s="3"/>
      <c r="I15" s="3"/>
      <c r="J15" s="3"/>
      <c r="K15" s="3"/>
      <c r="L15" s="3"/>
      <c r="M15" s="3"/>
      <c r="N15" s="3"/>
    </row>
    <row r="16" spans="1:14" x14ac:dyDescent="0.35">
      <c r="A16" s="3"/>
      <c r="B16" s="3"/>
      <c r="C16" s="3"/>
      <c r="D16" s="3"/>
      <c r="E16" s="3"/>
      <c r="F16" s="3"/>
      <c r="G16" s="3"/>
      <c r="H16" s="3"/>
      <c r="I16" s="3"/>
      <c r="J16" s="3"/>
      <c r="K16" s="3"/>
      <c r="L16" s="3"/>
      <c r="M16" s="3"/>
      <c r="N16" s="3"/>
    </row>
    <row r="17" spans="1:14" x14ac:dyDescent="0.35">
      <c r="A17" s="3"/>
      <c r="B17" s="3"/>
      <c r="C17" s="3"/>
      <c r="D17" s="3"/>
      <c r="E17" s="3"/>
      <c r="F17" s="3"/>
      <c r="G17" s="3"/>
      <c r="H17" s="3"/>
      <c r="I17" s="3"/>
      <c r="J17" s="3"/>
      <c r="K17" s="3"/>
      <c r="L17" s="3"/>
      <c r="M17" s="3"/>
      <c r="N17" s="3"/>
    </row>
    <row r="19" spans="1:14" x14ac:dyDescent="0.35">
      <c r="D19" s="10"/>
    </row>
  </sheetData>
  <pageMargins left="0.7" right="0.7" top="0.75" bottom="0.75" header="0.3" footer="0.3"/>
  <pageSetup paperSize="9" orientation="portrait" horizontalDpi="4294967293" verticalDpi="4294967293"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B6642-D6F4-4BBF-8C3E-B2B4B8E91E7F}">
  <dimension ref="A1:L18"/>
  <sheetViews>
    <sheetView workbookViewId="0"/>
  </sheetViews>
  <sheetFormatPr defaultRowHeight="14.5" x14ac:dyDescent="0.35"/>
  <sheetData>
    <row r="1" spans="1:12" x14ac:dyDescent="0.35">
      <c r="A1" s="5"/>
      <c r="B1" s="5"/>
      <c r="C1" s="5"/>
      <c r="D1" s="5"/>
      <c r="E1" s="5"/>
      <c r="F1" s="5"/>
      <c r="G1" s="5"/>
      <c r="H1" s="5"/>
      <c r="I1" s="5"/>
      <c r="J1" s="5"/>
      <c r="K1" s="5"/>
      <c r="L1" s="5"/>
    </row>
    <row r="2" spans="1:12" x14ac:dyDescent="0.35">
      <c r="A2" s="5"/>
      <c r="B2" s="5"/>
      <c r="C2" s="5"/>
      <c r="D2" s="5"/>
      <c r="E2" s="5"/>
      <c r="F2" s="5"/>
      <c r="G2" s="5"/>
      <c r="H2" s="5"/>
      <c r="I2" s="5"/>
      <c r="J2" s="5"/>
      <c r="K2" s="5"/>
      <c r="L2" s="5"/>
    </row>
    <row r="3" spans="1:12" x14ac:dyDescent="0.35">
      <c r="A3" s="5"/>
      <c r="B3" s="5"/>
      <c r="C3" s="5"/>
      <c r="D3" s="5"/>
      <c r="E3" s="5"/>
      <c r="F3" s="5"/>
      <c r="G3" s="5"/>
      <c r="H3" s="5"/>
      <c r="I3" s="5"/>
      <c r="J3" s="5"/>
      <c r="K3" s="5"/>
      <c r="L3" s="5"/>
    </row>
    <row r="4" spans="1:12" x14ac:dyDescent="0.35">
      <c r="A4" s="5"/>
      <c r="B4" s="5"/>
      <c r="C4" s="5"/>
      <c r="D4" s="5"/>
      <c r="E4" s="5"/>
      <c r="F4" s="5"/>
      <c r="G4" s="5"/>
      <c r="H4" s="5"/>
      <c r="I4" s="5"/>
      <c r="J4" s="5"/>
      <c r="K4" s="5"/>
      <c r="L4" s="5"/>
    </row>
    <row r="5" spans="1:12" x14ac:dyDescent="0.35">
      <c r="A5" s="5"/>
      <c r="B5" s="5"/>
      <c r="C5" s="5"/>
      <c r="D5" s="5"/>
      <c r="E5" s="5"/>
      <c r="F5" s="5"/>
      <c r="G5" s="5"/>
      <c r="H5" s="5"/>
      <c r="I5" s="5"/>
      <c r="J5" s="5"/>
      <c r="K5" s="5"/>
      <c r="L5" s="5"/>
    </row>
    <row r="6" spans="1:12" x14ac:dyDescent="0.35">
      <c r="A6" s="5"/>
      <c r="B6" s="5"/>
      <c r="C6" s="5"/>
      <c r="D6" s="5"/>
      <c r="E6" s="5"/>
      <c r="F6" s="5"/>
      <c r="G6" s="5"/>
      <c r="H6" s="5"/>
      <c r="I6" s="5"/>
      <c r="J6" s="5"/>
      <c r="K6" s="5"/>
      <c r="L6" s="5"/>
    </row>
    <row r="7" spans="1:12" x14ac:dyDescent="0.35">
      <c r="A7" s="5"/>
      <c r="B7" s="5"/>
      <c r="C7" s="5"/>
      <c r="D7" s="5"/>
      <c r="E7" s="5"/>
      <c r="F7" s="5"/>
      <c r="G7" s="5"/>
      <c r="H7" s="5"/>
      <c r="I7" s="5"/>
      <c r="J7" s="5"/>
      <c r="K7" s="5"/>
      <c r="L7" s="5"/>
    </row>
    <row r="8" spans="1:12" x14ac:dyDescent="0.35">
      <c r="A8" s="5"/>
      <c r="B8" s="5"/>
      <c r="C8" s="5"/>
      <c r="D8" s="5"/>
      <c r="E8" s="5"/>
      <c r="F8" s="5"/>
      <c r="G8" s="5"/>
      <c r="H8" s="5"/>
      <c r="I8" s="5"/>
      <c r="J8" s="5"/>
      <c r="K8" s="5"/>
      <c r="L8" s="5"/>
    </row>
    <row r="9" spans="1:12" x14ac:dyDescent="0.35">
      <c r="A9" s="5"/>
      <c r="B9" s="5"/>
      <c r="C9" s="5"/>
      <c r="D9" s="5"/>
      <c r="E9" s="5"/>
      <c r="F9" s="5"/>
      <c r="G9" s="5"/>
      <c r="H9" s="5"/>
      <c r="I9" s="5"/>
      <c r="J9" s="5"/>
      <c r="K9" s="5"/>
      <c r="L9" s="5"/>
    </row>
    <row r="10" spans="1:12" x14ac:dyDescent="0.35">
      <c r="A10" s="5"/>
      <c r="B10" s="5"/>
      <c r="C10" s="5"/>
      <c r="D10" s="5"/>
      <c r="E10" s="5"/>
      <c r="F10" s="5"/>
      <c r="G10" s="5"/>
      <c r="H10" s="5"/>
      <c r="I10" s="5"/>
      <c r="J10" s="5"/>
      <c r="K10" s="5"/>
      <c r="L10" s="5"/>
    </row>
    <row r="11" spans="1:12" x14ac:dyDescent="0.35">
      <c r="A11" s="5"/>
      <c r="B11" s="5"/>
      <c r="C11" s="5"/>
      <c r="D11" s="5"/>
      <c r="E11" s="5"/>
      <c r="F11" s="5"/>
      <c r="G11" s="5"/>
      <c r="H11" s="5"/>
      <c r="I11" s="5"/>
      <c r="J11" s="5"/>
      <c r="K11" s="5"/>
      <c r="L11" s="5"/>
    </row>
    <row r="12" spans="1:12" x14ac:dyDescent="0.35">
      <c r="A12" s="5"/>
      <c r="B12" s="5"/>
      <c r="C12" s="5"/>
      <c r="D12" s="5"/>
      <c r="E12" s="5"/>
      <c r="F12" s="5"/>
      <c r="G12" s="5"/>
      <c r="H12" s="5"/>
      <c r="I12" s="5"/>
      <c r="J12" s="5"/>
      <c r="K12" s="5"/>
      <c r="L12" s="5"/>
    </row>
    <row r="13" spans="1:12" x14ac:dyDescent="0.35">
      <c r="A13" s="5"/>
      <c r="B13" s="5"/>
      <c r="C13" s="5"/>
      <c r="D13" s="5"/>
      <c r="E13" s="5"/>
      <c r="F13" s="5"/>
      <c r="G13" s="5"/>
      <c r="H13" s="5"/>
      <c r="I13" s="5"/>
      <c r="J13" s="5"/>
      <c r="K13" s="5"/>
      <c r="L13" s="5"/>
    </row>
    <row r="14" spans="1:12" x14ac:dyDescent="0.35">
      <c r="A14" s="5"/>
      <c r="B14" s="5"/>
      <c r="C14" s="5"/>
      <c r="D14" s="5"/>
      <c r="E14" s="5"/>
      <c r="F14" s="5"/>
      <c r="G14" s="5"/>
      <c r="H14" s="5"/>
      <c r="I14" s="5"/>
      <c r="J14" s="5"/>
      <c r="K14" s="5"/>
      <c r="L14" s="5"/>
    </row>
    <row r="15" spans="1:12" x14ac:dyDescent="0.35">
      <c r="A15" s="5"/>
      <c r="B15" s="5"/>
      <c r="C15" s="5"/>
      <c r="D15" s="5"/>
      <c r="E15" s="5"/>
      <c r="F15" s="5"/>
      <c r="G15" s="5"/>
      <c r="H15" s="5"/>
      <c r="I15" s="5"/>
      <c r="J15" s="5"/>
      <c r="K15" s="5"/>
      <c r="L15" s="5"/>
    </row>
    <row r="16" spans="1:12" x14ac:dyDescent="0.35">
      <c r="A16" s="5"/>
      <c r="B16" s="5"/>
      <c r="C16" s="5"/>
      <c r="D16" s="5"/>
      <c r="E16" s="5"/>
      <c r="F16" s="5"/>
      <c r="G16" s="5"/>
      <c r="H16" s="5"/>
      <c r="I16" s="5"/>
      <c r="J16" s="5"/>
      <c r="K16" s="5"/>
      <c r="L16" s="5"/>
    </row>
    <row r="17" spans="1:12" x14ac:dyDescent="0.35">
      <c r="A17" s="5"/>
      <c r="B17" s="5"/>
      <c r="C17" s="5"/>
      <c r="D17" s="5"/>
      <c r="E17" s="5"/>
      <c r="F17" s="5"/>
      <c r="G17" s="5"/>
      <c r="H17" s="5"/>
      <c r="I17" s="5"/>
      <c r="J17" s="5"/>
      <c r="K17" s="5"/>
      <c r="L17" s="5"/>
    </row>
    <row r="18" spans="1:12" x14ac:dyDescent="0.35">
      <c r="A18" s="5"/>
      <c r="B18" s="5"/>
      <c r="C18" s="5"/>
      <c r="D18" s="5"/>
      <c r="E18" s="5"/>
      <c r="F18" s="5"/>
      <c r="G18" s="5"/>
      <c r="H18" s="5"/>
      <c r="I18" s="5"/>
      <c r="J18" s="5"/>
      <c r="K18" s="5"/>
      <c r="L18"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FC1CC-33B4-475A-801A-1C6E80644998}">
  <dimension ref="A1:N19"/>
  <sheetViews>
    <sheetView zoomScale="85" zoomScaleNormal="85" workbookViewId="0"/>
  </sheetViews>
  <sheetFormatPr defaultRowHeight="14.5" x14ac:dyDescent="0.35"/>
  <sheetData>
    <row r="1" spans="1:14" x14ac:dyDescent="0.35">
      <c r="A1" s="6"/>
      <c r="B1" s="6"/>
      <c r="C1" s="6"/>
      <c r="D1" s="6"/>
      <c r="E1" s="6"/>
      <c r="F1" s="6"/>
      <c r="G1" s="6"/>
      <c r="H1" s="6"/>
      <c r="I1" s="6"/>
      <c r="J1" s="6"/>
      <c r="K1" s="6"/>
      <c r="L1" s="6"/>
      <c r="M1" s="6"/>
      <c r="N1" s="6"/>
    </row>
    <row r="2" spans="1:14" x14ac:dyDescent="0.35">
      <c r="A2" s="6"/>
      <c r="B2" s="6"/>
      <c r="C2" s="6"/>
      <c r="D2" s="6"/>
      <c r="E2" s="6"/>
      <c r="F2" s="6"/>
      <c r="G2" s="6"/>
      <c r="H2" s="6"/>
      <c r="I2" s="6"/>
      <c r="J2" s="6"/>
      <c r="K2" s="6"/>
      <c r="L2" s="6"/>
      <c r="M2" s="6"/>
      <c r="N2" s="6"/>
    </row>
    <row r="3" spans="1:14" x14ac:dyDescent="0.35">
      <c r="A3" s="6"/>
      <c r="B3" s="6"/>
      <c r="C3" s="6"/>
      <c r="D3" s="6"/>
      <c r="E3" s="6"/>
      <c r="F3" s="6"/>
      <c r="G3" s="6"/>
      <c r="H3" s="6"/>
      <c r="I3" s="6"/>
      <c r="J3" s="6"/>
      <c r="K3" s="6"/>
      <c r="L3" s="6"/>
      <c r="M3" s="6"/>
      <c r="N3" s="6"/>
    </row>
    <row r="4" spans="1:14" x14ac:dyDescent="0.35">
      <c r="A4" s="6"/>
      <c r="B4" s="6"/>
      <c r="C4" s="6"/>
      <c r="D4" s="6"/>
      <c r="E4" s="6"/>
      <c r="F4" s="6"/>
      <c r="G4" s="6"/>
      <c r="H4" s="6"/>
      <c r="I4" s="6"/>
      <c r="J4" s="6"/>
      <c r="K4" s="6"/>
      <c r="L4" s="6"/>
      <c r="M4" s="6"/>
      <c r="N4" s="6"/>
    </row>
    <row r="5" spans="1:14" x14ac:dyDescent="0.35">
      <c r="A5" s="6"/>
      <c r="B5" s="6"/>
      <c r="C5" s="6"/>
      <c r="D5" s="6"/>
      <c r="E5" s="6"/>
      <c r="F5" s="6"/>
      <c r="G5" s="6"/>
      <c r="H5" s="6"/>
      <c r="I5" s="6"/>
      <c r="J5" s="6"/>
      <c r="K5" s="6"/>
      <c r="L5" s="6"/>
      <c r="M5" s="6"/>
      <c r="N5" s="6"/>
    </row>
    <row r="6" spans="1:14" x14ac:dyDescent="0.35">
      <c r="A6" s="6"/>
      <c r="B6" s="6"/>
      <c r="C6" s="6"/>
      <c r="D6" s="6"/>
      <c r="E6" s="6"/>
      <c r="F6" s="6"/>
      <c r="G6" s="6"/>
      <c r="H6" s="6"/>
      <c r="I6" s="6"/>
      <c r="J6" s="6"/>
      <c r="K6" s="6"/>
      <c r="L6" s="6"/>
      <c r="M6" s="6"/>
      <c r="N6" s="6"/>
    </row>
    <row r="7" spans="1:14" x14ac:dyDescent="0.35">
      <c r="A7" s="6"/>
      <c r="B7" s="6"/>
      <c r="C7" s="6"/>
      <c r="D7" s="6"/>
      <c r="E7" s="6"/>
      <c r="F7" s="6"/>
      <c r="G7" s="6"/>
      <c r="H7" s="6"/>
      <c r="I7" s="6"/>
      <c r="J7" s="6"/>
      <c r="K7" s="6"/>
      <c r="L7" s="6"/>
      <c r="M7" s="6"/>
      <c r="N7" s="6"/>
    </row>
    <row r="8" spans="1:14" x14ac:dyDescent="0.35">
      <c r="A8" s="6"/>
      <c r="B8" s="6"/>
      <c r="C8" s="6"/>
      <c r="D8" s="6"/>
      <c r="E8" s="6"/>
      <c r="F8" s="6"/>
      <c r="G8" s="6"/>
      <c r="H8" s="6"/>
      <c r="I8" s="6"/>
      <c r="J8" s="6"/>
      <c r="K8" s="6"/>
      <c r="L8" s="6"/>
      <c r="M8" s="6"/>
      <c r="N8" s="6"/>
    </row>
    <row r="9" spans="1:14" x14ac:dyDescent="0.35">
      <c r="A9" s="6"/>
      <c r="B9" s="6"/>
      <c r="C9" s="6"/>
      <c r="D9" s="6"/>
      <c r="E9" s="6"/>
      <c r="F9" s="6"/>
      <c r="G9" s="6"/>
      <c r="H9" s="6"/>
      <c r="I9" s="6"/>
      <c r="J9" s="6"/>
      <c r="K9" s="6"/>
      <c r="L9" s="6"/>
      <c r="M9" s="6"/>
      <c r="N9" s="6"/>
    </row>
    <row r="10" spans="1:14" x14ac:dyDescent="0.35">
      <c r="A10" s="6"/>
      <c r="B10" s="6"/>
      <c r="C10" s="6"/>
      <c r="D10" s="6"/>
      <c r="E10" s="6"/>
      <c r="F10" s="6"/>
      <c r="G10" s="6"/>
      <c r="H10" s="6"/>
      <c r="I10" s="6"/>
      <c r="J10" s="6"/>
      <c r="K10" s="6"/>
      <c r="L10" s="6"/>
      <c r="M10" s="6"/>
      <c r="N10" s="6"/>
    </row>
    <row r="11" spans="1:14" x14ac:dyDescent="0.35">
      <c r="A11" s="6"/>
      <c r="B11" s="6"/>
      <c r="C11" s="6"/>
      <c r="D11" s="6"/>
      <c r="E11" s="6"/>
      <c r="F11" s="6"/>
      <c r="G11" s="6"/>
      <c r="H11" s="6"/>
      <c r="I11" s="6"/>
      <c r="J11" s="6"/>
      <c r="K11" s="6"/>
      <c r="L11" s="6"/>
      <c r="M11" s="6"/>
      <c r="N11" s="6"/>
    </row>
    <row r="12" spans="1:14" x14ac:dyDescent="0.35">
      <c r="A12" s="6"/>
      <c r="B12" s="6"/>
      <c r="C12" s="6"/>
      <c r="D12" s="6"/>
      <c r="E12" s="6"/>
      <c r="F12" s="6"/>
      <c r="G12" s="6"/>
      <c r="H12" s="6"/>
      <c r="I12" s="6"/>
      <c r="J12" s="6"/>
      <c r="K12" s="6"/>
      <c r="L12" s="6"/>
      <c r="M12" s="6"/>
      <c r="N12" s="6"/>
    </row>
    <row r="13" spans="1:14" x14ac:dyDescent="0.35">
      <c r="A13" s="6"/>
      <c r="B13" s="6"/>
      <c r="C13" s="6"/>
      <c r="D13" s="6"/>
      <c r="E13" s="6"/>
      <c r="F13" s="6"/>
      <c r="G13" s="6"/>
      <c r="H13" s="6"/>
      <c r="I13" s="6"/>
      <c r="J13" s="6"/>
      <c r="K13" s="6"/>
      <c r="L13" s="6"/>
      <c r="M13" s="6"/>
      <c r="N13" s="6"/>
    </row>
    <row r="14" spans="1:14" x14ac:dyDescent="0.35">
      <c r="A14" s="6"/>
      <c r="B14" s="6"/>
      <c r="C14" s="6"/>
      <c r="D14" s="6"/>
      <c r="E14" s="6"/>
      <c r="F14" s="6"/>
      <c r="G14" s="6"/>
      <c r="H14" s="6"/>
      <c r="I14" s="6"/>
      <c r="J14" s="6"/>
      <c r="K14" s="6"/>
      <c r="L14" s="6"/>
      <c r="M14" s="6"/>
      <c r="N14" s="6"/>
    </row>
    <row r="15" spans="1:14" x14ac:dyDescent="0.35">
      <c r="A15" s="6"/>
      <c r="B15" s="6"/>
      <c r="C15" s="6"/>
      <c r="D15" s="6"/>
      <c r="E15" s="6"/>
      <c r="F15" s="6"/>
      <c r="G15" s="6"/>
      <c r="H15" s="6"/>
      <c r="I15" s="6"/>
      <c r="J15" s="6"/>
      <c r="K15" s="6"/>
      <c r="L15" s="6"/>
      <c r="M15" s="6"/>
      <c r="N15" s="6"/>
    </row>
    <row r="16" spans="1:14" x14ac:dyDescent="0.35">
      <c r="A16" s="6"/>
      <c r="B16" s="6"/>
      <c r="C16" s="6"/>
      <c r="D16" s="6"/>
      <c r="E16" s="6"/>
      <c r="F16" s="6"/>
      <c r="G16" s="6"/>
      <c r="H16" s="6"/>
      <c r="I16" s="6"/>
      <c r="J16" s="6"/>
      <c r="K16" s="6"/>
      <c r="L16" s="6"/>
      <c r="M16" s="6"/>
      <c r="N16" s="6"/>
    </row>
    <row r="17" spans="1:14" x14ac:dyDescent="0.35">
      <c r="A17" s="6"/>
      <c r="B17" s="6"/>
      <c r="C17" s="6"/>
      <c r="D17" s="6"/>
      <c r="E17" s="6"/>
      <c r="F17" s="6"/>
      <c r="G17" s="6"/>
      <c r="H17" s="6"/>
      <c r="I17" s="6"/>
      <c r="J17" s="6"/>
      <c r="K17" s="6"/>
      <c r="L17" s="6"/>
      <c r="M17" s="6"/>
      <c r="N17" s="6"/>
    </row>
    <row r="18" spans="1:14" x14ac:dyDescent="0.35">
      <c r="A18" s="6"/>
      <c r="B18" s="6"/>
      <c r="C18" s="6"/>
      <c r="D18" s="6"/>
      <c r="E18" s="6"/>
      <c r="F18" s="6"/>
      <c r="G18" s="6"/>
      <c r="H18" s="6"/>
      <c r="I18" s="6"/>
      <c r="J18" s="6"/>
      <c r="K18" s="6"/>
      <c r="L18" s="6"/>
      <c r="M18" s="6"/>
      <c r="N18" s="6"/>
    </row>
    <row r="19" spans="1:14" x14ac:dyDescent="0.35">
      <c r="A19" s="6"/>
      <c r="B19" s="6"/>
      <c r="C19" s="6"/>
      <c r="D19" s="6"/>
      <c r="E19" s="6"/>
      <c r="F19" s="6"/>
      <c r="G19" s="6"/>
      <c r="H19" s="6"/>
      <c r="I19" s="6"/>
      <c r="J19" s="6"/>
      <c r="K19" s="6"/>
      <c r="L19" s="6"/>
      <c r="M19" s="6"/>
      <c r="N19"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E46B-F4A5-4D87-AEB1-3F0AB9CC0CCA}">
  <dimension ref="A1:N19"/>
  <sheetViews>
    <sheetView zoomScale="85" zoomScaleNormal="85" workbookViewId="0"/>
  </sheetViews>
  <sheetFormatPr defaultRowHeight="14.5" x14ac:dyDescent="0.35"/>
  <sheetData>
    <row r="1" spans="1:14" x14ac:dyDescent="0.35">
      <c r="A1" s="6"/>
      <c r="B1" s="6"/>
      <c r="C1" s="6"/>
      <c r="D1" s="6"/>
      <c r="E1" s="6"/>
      <c r="F1" s="6"/>
      <c r="G1" s="6"/>
      <c r="H1" s="6"/>
      <c r="I1" s="6"/>
      <c r="J1" s="6"/>
      <c r="K1" s="6"/>
      <c r="L1" s="6"/>
      <c r="M1" s="6"/>
      <c r="N1" s="6"/>
    </row>
    <row r="2" spans="1:14" x14ac:dyDescent="0.35">
      <c r="A2" s="6"/>
      <c r="B2" s="6"/>
      <c r="C2" s="6"/>
      <c r="D2" s="6"/>
      <c r="E2" s="6"/>
      <c r="F2" s="6"/>
      <c r="G2" s="6"/>
      <c r="H2" s="6"/>
      <c r="I2" s="6"/>
      <c r="J2" s="6"/>
      <c r="K2" s="6"/>
      <c r="L2" s="6"/>
      <c r="M2" s="6"/>
      <c r="N2" s="6"/>
    </row>
    <row r="3" spans="1:14" x14ac:dyDescent="0.35">
      <c r="A3" s="6"/>
      <c r="B3" s="6"/>
      <c r="C3" s="6"/>
      <c r="D3" s="6"/>
      <c r="E3" s="6"/>
      <c r="F3" s="6"/>
      <c r="G3" s="6"/>
      <c r="H3" s="6"/>
      <c r="I3" s="6"/>
      <c r="J3" s="6"/>
      <c r="K3" s="6"/>
      <c r="L3" s="6"/>
      <c r="M3" s="6"/>
      <c r="N3" s="6"/>
    </row>
    <row r="4" spans="1:14" x14ac:dyDescent="0.35">
      <c r="A4" s="6"/>
      <c r="B4" s="6"/>
      <c r="C4" s="6"/>
      <c r="D4" s="6"/>
      <c r="E4" s="6"/>
      <c r="F4" s="6"/>
      <c r="G4" s="6"/>
      <c r="H4" s="6"/>
      <c r="I4" s="6"/>
      <c r="J4" s="6"/>
      <c r="K4" s="6"/>
      <c r="L4" s="6"/>
      <c r="M4" s="6"/>
      <c r="N4" s="6"/>
    </row>
    <row r="5" spans="1:14" x14ac:dyDescent="0.35">
      <c r="A5" s="6"/>
      <c r="B5" s="6"/>
      <c r="C5" s="6"/>
      <c r="D5" s="6"/>
      <c r="E5" s="6"/>
      <c r="F5" s="6"/>
      <c r="G5" s="6"/>
      <c r="H5" s="6"/>
      <c r="I5" s="6"/>
      <c r="J5" s="6"/>
      <c r="K5" s="6"/>
      <c r="L5" s="6"/>
      <c r="M5" s="6"/>
      <c r="N5" s="6"/>
    </row>
    <row r="6" spans="1:14" x14ac:dyDescent="0.35">
      <c r="A6" s="6"/>
      <c r="B6" s="6"/>
      <c r="C6" s="6"/>
      <c r="D6" s="6"/>
      <c r="E6" s="6"/>
      <c r="F6" s="6"/>
      <c r="G6" s="6"/>
      <c r="H6" s="6"/>
      <c r="I6" s="6"/>
      <c r="J6" s="6"/>
      <c r="K6" s="6"/>
      <c r="L6" s="6"/>
      <c r="M6" s="6"/>
      <c r="N6" s="6"/>
    </row>
    <row r="7" spans="1:14" x14ac:dyDescent="0.35">
      <c r="A7" s="6"/>
      <c r="B7" s="6"/>
      <c r="C7" s="6"/>
      <c r="D7" s="6"/>
      <c r="E7" s="6"/>
      <c r="F7" s="6"/>
      <c r="G7" s="6"/>
      <c r="H7" s="6"/>
      <c r="I7" s="6"/>
      <c r="J7" s="6"/>
      <c r="K7" s="6"/>
      <c r="L7" s="6"/>
      <c r="M7" s="6"/>
      <c r="N7" s="6"/>
    </row>
    <row r="8" spans="1:14" x14ac:dyDescent="0.35">
      <c r="A8" s="6"/>
      <c r="B8" s="6"/>
      <c r="C8" s="6"/>
      <c r="D8" s="6"/>
      <c r="E8" s="6"/>
      <c r="F8" s="6"/>
      <c r="G8" s="6"/>
      <c r="H8" s="6"/>
      <c r="I8" s="6"/>
      <c r="J8" s="6"/>
      <c r="K8" s="6"/>
      <c r="L8" s="6"/>
      <c r="M8" s="6"/>
      <c r="N8" s="6"/>
    </row>
    <row r="9" spans="1:14" x14ac:dyDescent="0.35">
      <c r="A9" s="6"/>
      <c r="B9" s="6"/>
      <c r="C9" s="6"/>
      <c r="D9" s="6"/>
      <c r="E9" s="6"/>
      <c r="F9" s="6"/>
      <c r="G9" s="6"/>
      <c r="H9" s="6"/>
      <c r="I9" s="6"/>
      <c r="J9" s="6"/>
      <c r="K9" s="6"/>
      <c r="L9" s="6"/>
      <c r="M9" s="6"/>
      <c r="N9" s="6"/>
    </row>
    <row r="10" spans="1:14" x14ac:dyDescent="0.35">
      <c r="A10" s="6"/>
      <c r="B10" s="6"/>
      <c r="C10" s="6"/>
      <c r="D10" s="6"/>
      <c r="E10" s="6"/>
      <c r="F10" s="6"/>
      <c r="G10" s="6"/>
      <c r="H10" s="6"/>
      <c r="I10" s="6"/>
      <c r="J10" s="6"/>
      <c r="K10" s="6"/>
      <c r="L10" s="6"/>
      <c r="M10" s="6"/>
      <c r="N10" s="6"/>
    </row>
    <row r="11" spans="1:14" x14ac:dyDescent="0.35">
      <c r="A11" s="6"/>
      <c r="B11" s="6"/>
      <c r="C11" s="6"/>
      <c r="D11" s="6"/>
      <c r="E11" s="6"/>
      <c r="F11" s="6"/>
      <c r="G11" s="6"/>
      <c r="H11" s="6"/>
      <c r="I11" s="6"/>
      <c r="J11" s="6"/>
      <c r="K11" s="6"/>
      <c r="L11" s="6"/>
      <c r="M11" s="6"/>
      <c r="N11" s="6"/>
    </row>
    <row r="12" spans="1:14" x14ac:dyDescent="0.35">
      <c r="A12" s="6"/>
      <c r="B12" s="6"/>
      <c r="C12" s="6"/>
      <c r="D12" s="6"/>
      <c r="E12" s="6"/>
      <c r="F12" s="6"/>
      <c r="G12" s="6"/>
      <c r="H12" s="6"/>
      <c r="I12" s="6"/>
      <c r="J12" s="6"/>
      <c r="K12" s="6"/>
      <c r="L12" s="6"/>
      <c r="M12" s="6"/>
      <c r="N12" s="6"/>
    </row>
    <row r="13" spans="1:14" x14ac:dyDescent="0.35">
      <c r="A13" s="6"/>
      <c r="B13" s="6"/>
      <c r="C13" s="6"/>
      <c r="D13" s="6"/>
      <c r="E13" s="6"/>
      <c r="F13" s="6"/>
      <c r="G13" s="6"/>
      <c r="H13" s="6"/>
      <c r="I13" s="6"/>
      <c r="J13" s="6"/>
      <c r="K13" s="6"/>
      <c r="L13" s="6"/>
      <c r="M13" s="6"/>
      <c r="N13" s="6"/>
    </row>
    <row r="14" spans="1:14" x14ac:dyDescent="0.35">
      <c r="A14" s="6"/>
      <c r="B14" s="6"/>
      <c r="C14" s="6"/>
      <c r="D14" s="6"/>
      <c r="E14" s="6"/>
      <c r="F14" s="6"/>
      <c r="G14" s="6"/>
      <c r="H14" s="6"/>
      <c r="I14" s="6"/>
      <c r="J14" s="6"/>
      <c r="K14" s="6"/>
      <c r="L14" s="6"/>
      <c r="M14" s="6"/>
      <c r="N14" s="6"/>
    </row>
    <row r="15" spans="1:14" x14ac:dyDescent="0.35">
      <c r="A15" s="6"/>
      <c r="B15" s="6"/>
      <c r="C15" s="6"/>
      <c r="D15" s="6"/>
      <c r="E15" s="6"/>
      <c r="F15" s="6"/>
      <c r="G15" s="6"/>
      <c r="H15" s="6"/>
      <c r="I15" s="6"/>
      <c r="J15" s="6"/>
      <c r="K15" s="6"/>
      <c r="L15" s="6"/>
      <c r="M15" s="6"/>
      <c r="N15" s="6"/>
    </row>
    <row r="16" spans="1:14" x14ac:dyDescent="0.35">
      <c r="A16" s="6"/>
      <c r="B16" s="6"/>
      <c r="C16" s="6"/>
      <c r="D16" s="6"/>
      <c r="E16" s="6"/>
      <c r="F16" s="6"/>
      <c r="G16" s="6"/>
      <c r="H16" s="6"/>
      <c r="I16" s="6"/>
      <c r="J16" s="6"/>
      <c r="K16" s="6"/>
      <c r="L16" s="6"/>
      <c r="M16" s="6"/>
      <c r="N16" s="6"/>
    </row>
    <row r="17" spans="1:14" x14ac:dyDescent="0.35">
      <c r="A17" s="6"/>
      <c r="B17" s="6"/>
      <c r="C17" s="6"/>
      <c r="D17" s="6"/>
      <c r="E17" s="6"/>
      <c r="F17" s="6"/>
      <c r="G17" s="6"/>
      <c r="H17" s="6"/>
      <c r="I17" s="6"/>
      <c r="J17" s="6"/>
      <c r="K17" s="6"/>
      <c r="L17" s="6"/>
      <c r="M17" s="6"/>
      <c r="N17" s="6"/>
    </row>
    <row r="18" spans="1:14" x14ac:dyDescent="0.35">
      <c r="A18" s="6"/>
      <c r="B18" s="6"/>
      <c r="C18" s="6"/>
      <c r="D18" s="6"/>
      <c r="E18" s="6"/>
      <c r="F18" s="6"/>
      <c r="G18" s="6"/>
      <c r="H18" s="6"/>
      <c r="I18" s="6"/>
      <c r="J18" s="6"/>
      <c r="K18" s="6"/>
      <c r="L18" s="6"/>
      <c r="M18" s="6"/>
      <c r="N18" s="6"/>
    </row>
    <row r="19" spans="1:14" x14ac:dyDescent="0.35">
      <c r="A19" s="6"/>
      <c r="B19" s="6"/>
      <c r="C19" s="6"/>
      <c r="D19" s="6"/>
      <c r="E19" s="6"/>
      <c r="F19" s="6"/>
      <c r="G19" s="6"/>
      <c r="H19" s="6"/>
      <c r="I19" s="6"/>
      <c r="J19" s="6"/>
      <c r="K19" s="6"/>
      <c r="L19" s="6"/>
      <c r="M19" s="6"/>
      <c r="N19"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3B41DD4-10AC-49A6-A80F-C84F6E7A5299}">
  <ds:schemaRefs/>
</ds:datastoreItem>
</file>

<file path=customXml/itemProps2.xml><?xml version="1.0" encoding="utf-8"?>
<ds:datastoreItem xmlns:ds="http://schemas.openxmlformats.org/officeDocument/2006/customXml" ds:itemID="{0C58D88D-BF15-433A-A3E0-C63BA885BF3F}">
  <ds:schemaRefs/>
</ds:datastoreItem>
</file>

<file path=customXml/itemProps3.xml><?xml version="1.0" encoding="utf-8"?>
<ds:datastoreItem xmlns:ds="http://schemas.openxmlformats.org/officeDocument/2006/customXml" ds:itemID="{980FE929-ED89-49ED-B3E0-225E96F0FF8E}">
  <ds:schemaRefs/>
</ds:datastoreItem>
</file>

<file path=customXml/itemProps4.xml><?xml version="1.0" encoding="utf-8"?>
<ds:datastoreItem xmlns:ds="http://schemas.openxmlformats.org/officeDocument/2006/customXml" ds:itemID="{969EE245-B99C-4726-8513-E74DC2F66E83}">
  <ds:schemaRefs/>
</ds:datastoreItem>
</file>

<file path=customXml/itemProps5.xml><?xml version="1.0" encoding="utf-8"?>
<ds:datastoreItem xmlns:ds="http://schemas.openxmlformats.org/officeDocument/2006/customXml" ds:itemID="{2875D93D-7CD6-47A6-AEEB-AF91F66B9BB1}">
  <ds:schemaRefs/>
</ds:datastoreItem>
</file>

<file path=customXml/itemProps6.xml><?xml version="1.0" encoding="utf-8"?>
<ds:datastoreItem xmlns:ds="http://schemas.openxmlformats.org/officeDocument/2006/customXml" ds:itemID="{2AA15F2B-BCB8-4C72-ADF6-2723FE2FC3C2}">
  <ds:schemaRefs/>
</ds:datastoreItem>
</file>

<file path=customXml/itemProps7.xml><?xml version="1.0" encoding="utf-8"?>
<ds:datastoreItem xmlns:ds="http://schemas.openxmlformats.org/officeDocument/2006/customXml" ds:itemID="{BB6FF70B-552B-4788-9583-177A86640874}">
  <ds:schemaRefs/>
</ds:datastoreItem>
</file>

<file path=customXml/itemProps8.xml><?xml version="1.0" encoding="utf-8"?>
<ds:datastoreItem xmlns:ds="http://schemas.openxmlformats.org/officeDocument/2006/customXml" ds:itemID="{7EFD3C5E-5079-435B-9A1E-231AFBDB4B7F}">
  <ds:schemaRefs/>
</ds:datastoreItem>
</file>

<file path=customXml/itemProps9.xml><?xml version="1.0" encoding="utf-8"?>
<ds:datastoreItem xmlns:ds="http://schemas.openxmlformats.org/officeDocument/2006/customXml" ds:itemID="{CCC00AEB-67D3-4446-BAF1-49DF98E70FD4}">
  <ds:schemaRefs/>
</ds:datastoreItem>
</file>

<file path=customXml/itemProps10.xml><?xml version="1.0" encoding="utf-8"?>
<ds:datastoreItem xmlns:ds="http://schemas.openxmlformats.org/officeDocument/2006/customXml" ds:itemID="{28F499DF-90C7-40DA-A378-39779C9299DF}">
  <ds:schemaRefs/>
</ds:datastoreItem>
</file>

<file path=customXml/itemProps11.xml><?xml version="1.0" encoding="utf-8"?>
<ds:datastoreItem xmlns:ds="http://schemas.openxmlformats.org/officeDocument/2006/customXml" ds:itemID="{698CF045-930D-42AC-9643-1BC164B69D28}">
  <ds:schemaRefs/>
</ds:datastoreItem>
</file>

<file path=customXml/itemProps12.xml><?xml version="1.0" encoding="utf-8"?>
<ds:datastoreItem xmlns:ds="http://schemas.openxmlformats.org/officeDocument/2006/customXml" ds:itemID="{3E52DF4F-6F85-413F-A75A-1263714A8EE0}">
  <ds:schemaRefs/>
</ds:datastoreItem>
</file>

<file path=customXml/itemProps13.xml><?xml version="1.0" encoding="utf-8"?>
<ds:datastoreItem xmlns:ds="http://schemas.openxmlformats.org/officeDocument/2006/customXml" ds:itemID="{9238AD55-A878-4722-B434-0912BDAE3DA6}">
  <ds:schemaRefs/>
</ds:datastoreItem>
</file>

<file path=customXml/itemProps14.xml><?xml version="1.0" encoding="utf-8"?>
<ds:datastoreItem xmlns:ds="http://schemas.openxmlformats.org/officeDocument/2006/customXml" ds:itemID="{E0F43A5F-E7E2-469E-AEE1-9E7B916790A5}">
  <ds:schemaRefs/>
</ds:datastoreItem>
</file>

<file path=customXml/itemProps15.xml><?xml version="1.0" encoding="utf-8"?>
<ds:datastoreItem xmlns:ds="http://schemas.openxmlformats.org/officeDocument/2006/customXml" ds:itemID="{6BBC8A17-7B11-4C55-803F-AE6AC1CC4E51}">
  <ds:schemaRefs>
    <ds:schemaRef ds:uri="http://schemas.microsoft.com/DataMashup"/>
  </ds:schemaRefs>
</ds:datastoreItem>
</file>

<file path=customXml/itemProps16.xml><?xml version="1.0" encoding="utf-8"?>
<ds:datastoreItem xmlns:ds="http://schemas.openxmlformats.org/officeDocument/2006/customXml" ds:itemID="{4E2D5A52-04E8-4997-830D-FE02E7A0F594}">
  <ds:schemaRefs/>
</ds:datastoreItem>
</file>

<file path=customXml/itemProps17.xml><?xml version="1.0" encoding="utf-8"?>
<ds:datastoreItem xmlns:ds="http://schemas.openxmlformats.org/officeDocument/2006/customXml" ds:itemID="{21ECDA9C-496D-4045-9762-5936FE909667}">
  <ds:schemaRefs/>
</ds:datastoreItem>
</file>

<file path=customXml/itemProps18.xml><?xml version="1.0" encoding="utf-8"?>
<ds:datastoreItem xmlns:ds="http://schemas.openxmlformats.org/officeDocument/2006/customXml" ds:itemID="{A1B7B956-BBA9-4754-965B-382A8F368E7B}">
  <ds:schemaRefs/>
</ds:datastoreItem>
</file>

<file path=customXml/itemProps19.xml><?xml version="1.0" encoding="utf-8"?>
<ds:datastoreItem xmlns:ds="http://schemas.openxmlformats.org/officeDocument/2006/customXml" ds:itemID="{7A187D44-CD4F-4A09-948D-2EE9F828E3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 X1 Yoga</dc:creator>
  <cp:lastModifiedBy>md Fozail</cp:lastModifiedBy>
  <dcterms:created xsi:type="dcterms:W3CDTF">2026-04-22T10:34:14Z</dcterms:created>
  <dcterms:modified xsi:type="dcterms:W3CDTF">2026-04-23T06:38:01Z</dcterms:modified>
</cp:coreProperties>
</file>